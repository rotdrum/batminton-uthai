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ac52ea18a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ผล" sheetId="1" r:id="R9caf2c2d4f2e47b9"/>
    <x:sheet xmlns:r="http://schemas.openxmlformats.org/officeDocument/2006/relationships" name="Test Cases" sheetId="2" r:id="R1bcabd649df8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22"/>
      <x:color rgb="FFFFFFFF"/>
      <x:name val="Arial"/>
    </x:font>
    <x:font>
      <x:sz val="11"/>
      <x:color rgb="FF315646"/>
      <x:name val="Arial"/>
    </x:font>
    <x:font>
      <x:b/>
      <x:sz val="10"/>
      <x:color rgb="FF264B3C"/>
      <x:name val="Arial"/>
    </x:font>
    <x:font>
      <x:b/>
      <x:sz val="22"/>
      <x:color rgb="FF0F4535"/>
      <x:name val="Arial"/>
    </x:font>
    <x:font>
      <x:b/>
      <x:sz val="10"/>
      <x:color rgb="FFFFFFFF"/>
      <x:name val="Arial"/>
    </x:font>
    <x:font>
      <x:sz val="10"/>
      <x:color rgb="FF24372F"/>
      <x:name val="Arial"/>
    </x:font>
    <x:font>
      <x:b/>
      <x:sz val="13"/>
      <x:color rgb="FFFFFFFF"/>
      <x:name val="Arial"/>
    </x:font>
    <x:font>
      <x:b/>
      <x:sz val="10"/>
      <x:color rgb="FF143D31"/>
      <x:name val="Arial"/>
    </x:font>
    <x:font>
      <x:sz val="10"/>
      <x:color rgb="FF5E4A17"/>
      <x:name val="Arial"/>
    </x:font>
    <x:font>
      <x:b/>
      <x:sz val="10"/>
      <x:color rgb="FFA33B2B"/>
      <x:name val="Arial"/>
    </x:font>
    <x:font>
      <x:b/>
      <x:sz val="12"/>
      <x:color rgb="FF143D31"/>
      <x:name val="Arial"/>
    </x:font>
    <x:font>
      <x:sz val="11"/>
      <x:color rgb="FF24372F"/>
      <x:name val="Arial"/>
    </x:font>
    <x:font>
      <x:sz val="11"/>
      <x:name val="Arial"/>
    </x:font>
    <x:font>
      <x:b/>
      <x:sz val="20"/>
      <x:color rgb="FFFFFFFF"/>
      <x:name val="Arial"/>
    </x:font>
    <x:font>
      <x:sz val="10"/>
      <x:color rgb="FF315646"/>
      <x:name val="Arial"/>
    </x:font>
    <x:font>
      <x:sz val="9"/>
      <x:color rgb="FF24372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F4535"/>
      </x:patternFill>
    </x:fill>
    <x:fill>
      <x:patternFill patternType="solid">
        <x:fgColor rgb="FFE9F5D0"/>
      </x:patternFill>
    </x:fill>
    <x:fill>
      <x:patternFill patternType="solid">
        <x:fgColor rgb="FFD9E4DD"/>
      </x:patternFill>
    </x:fill>
    <x:fill>
      <x:patternFill patternType="solid">
        <x:fgColor rgb="FFFFFFFF"/>
      </x:patternFill>
    </x:fill>
    <x:fill>
      <x:patternFill patternType="solid">
        <x:fgColor rgb="FFCFF45A"/>
      </x:patternFill>
    </x:fill>
    <x:fill>
      <x:patternFill patternType="solid">
        <x:fgColor rgb="FFFFF7E0"/>
      </x:patternFill>
    </x:fill>
    <x:fill>
      <x:patternFill patternType="solid">
        <x:fgColor rgb="FFF2F6F3"/>
      </x:patternFill>
    </x:fill>
  </x:fills>
  <x:borders count="9">
    <x:border>
      <x:left/>
      <x:right/>
      <x:top/>
      <x:bottom/>
      <x:diagonal/>
    </x:border>
    <x:border>
      <x:left style="thin">
        <x:color rgb="FFD5DED8"/>
      </x:left>
      <x:right style="thin">
        <x:color rgb="FFD5DED8"/>
      </x:right>
      <x:top style="thin">
        <x:color rgb="FFD5DED8"/>
      </x:top>
      <x:bottom style="thin">
        <x:color rgb="FFD5DED8"/>
      </x:bottom>
      <x:diagonal/>
    </x:border>
    <x:border>
      <x:left style="thin">
        <x:color rgb="FFE9D8A5"/>
      </x:left>
      <x:right style="thin">
        <x:color rgb="FFE9D8A5"/>
      </x:right>
      <x:top style="thin">
        <x:color rgb="FFE9D8A5"/>
      </x:top>
      <x:bottom style="thin">
        <x:color rgb="FFE9D8A5"/>
      </x:bottom>
      <x:diagonal/>
    </x:border>
    <x:border>
      <x:left style="thin">
        <x:color rgb="FFD5DED8"/>
      </x:left>
      <x:right/>
      <x:top style="thin">
        <x:color rgb="FFD5DED8"/>
      </x:top>
      <x:bottom/>
      <x:diagonal/>
    </x:border>
    <x:border>
      <x:left/>
      <x:right style="thin">
        <x:color rgb="FFD5DED8"/>
      </x:right>
      <x:top style="thin">
        <x:color rgb="FFD5DED8"/>
      </x:top>
      <x:bottom/>
      <x:diagonal/>
    </x:border>
    <x:border>
      <x:left style="thin">
        <x:color rgb="FFD5DED8"/>
      </x:left>
      <x:right/>
      <x:top/>
      <x:bottom/>
      <x:diagonal/>
    </x:border>
    <x:border>
      <x:left/>
      <x:right style="thin">
        <x:color rgb="FFD5DED8"/>
      </x:right>
      <x:top/>
      <x:bottom/>
      <x:diagonal/>
    </x:border>
    <x:border>
      <x:left style="thin">
        <x:color rgb="FFD5DED8"/>
      </x:left>
      <x:right/>
      <x:top/>
      <x:bottom style="thin">
        <x:color rgb="FFD5DED8"/>
      </x:bottom>
      <x:diagonal/>
    </x:border>
    <x:border>
      <x:left/>
      <x:right style="thin">
        <x:color rgb="FFD5DED8"/>
      </x:right>
      <x:top/>
      <x:bottom style="thin">
        <x:color rgb="FFD5DED8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2" xfId="0" applyNumberFormat="1" applyFont="1" applyFill="1" applyBorder="1"/>
    <x:xf numFmtId="0" fontId="9" fillId="7" borderId="2" xfId="0" applyNumberFormat="1" applyFont="1" applyFill="1" applyBorder="1" applyAlignment="1">
      <x:alignment wrapText="1"/>
    </x:xf>
    <x:xf numFmtId="0" fontId="9" fillId="7" borderId="2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3" xfId="0" applyNumberFormat="1" applyFont="1" applyFill="1" applyBorder="1"/>
    <x:xf numFmtId="0" fontId="12" fillId="8" borderId="4" xfId="0" applyNumberFormat="1" applyFont="1" applyFill="1" applyBorder="1"/>
    <x:xf numFmtId="0" fontId="12" fillId="8" borderId="5" xfId="0" applyNumberFormat="1" applyFont="1" applyFill="1" applyBorder="1"/>
    <x:xf numFmtId="0" fontId="12" fillId="8" borderId="6" xfId="0" applyNumberFormat="1" applyFont="1" applyFill="1" applyBorder="1"/>
    <x:xf numFmtId="0" fontId="12" fillId="8" borderId="7" xfId="0" applyNumberFormat="1" applyFont="1" applyFill="1" applyBorder="1"/>
    <x:xf numFmtId="0" fontId="12" fillId="8" borderId="8" xfId="0" applyNumberFormat="1" applyFont="1" applyFill="1" applyBorder="1"/>
    <x:xf numFmtId="0" fontId="12" fillId="8" borderId="3" xfId="0" applyNumberFormat="1" applyFont="1" applyFill="1" applyBorder="1" applyAlignment="1">
      <x:alignment wrapText="1"/>
    </x:xf>
    <x:xf numFmtId="0" fontId="12" fillId="8" borderId="4" xfId="0" applyNumberFormat="1" applyFont="1" applyFill="1" applyBorder="1" applyAlignment="1">
      <x:alignment wrapText="1"/>
    </x:xf>
    <x:xf numFmtId="0" fontId="12" fillId="8" borderId="5" xfId="0" applyNumberFormat="1" applyFont="1" applyFill="1" applyBorder="1" applyAlignment="1">
      <x:alignment wrapText="1"/>
    </x:xf>
    <x:xf numFmtId="0" fontId="12" fillId="8" borderId="6" xfId="0" applyNumberFormat="1" applyFont="1" applyFill="1" applyBorder="1" applyAlignment="1">
      <x:alignment wrapText="1"/>
    </x:xf>
    <x:xf numFmtId="0" fontId="12" fillId="8" borderId="7" xfId="0" applyNumberFormat="1" applyFont="1" applyFill="1" applyBorder="1" applyAlignment="1">
      <x:alignment wrapText="1"/>
    </x:xf>
    <x:xf numFmtId="0" fontId="12" fillId="8" borderId="8" xfId="0" applyNumberFormat="1" applyFont="1" applyFill="1" applyBorder="1" applyAlignment="1">
      <x:alignment wrapText="1"/>
    </x:xf>
    <x:xf numFmtId="0" fontId="12" fillId="8" borderId="3" xfId="0" applyNumberFormat="1" applyFont="1" applyFill="1" applyBorder="1" applyAlignment="1">
      <x:alignment vertical="top" wrapText="1"/>
    </x:xf>
    <x:xf numFmtId="0" fontId="12" fillId="8" borderId="4" xfId="0" applyNumberFormat="1" applyFont="1" applyFill="1" applyBorder="1" applyAlignment="1">
      <x:alignment vertical="top" wrapText="1"/>
    </x:xf>
    <x:xf numFmtId="0" fontId="12" fillId="8" borderId="5" xfId="0" applyNumberFormat="1" applyFont="1" applyFill="1" applyBorder="1" applyAlignment="1">
      <x:alignment vertical="top" wrapText="1"/>
    </x:xf>
    <x:xf numFmtId="0" fontId="12" fillId="8" borderId="6" xfId="0" applyNumberFormat="1" applyFont="1" applyFill="1" applyBorder="1" applyAlignment="1">
      <x:alignment vertical="top" wrapText="1"/>
    </x:xf>
    <x:xf numFmtId="0" fontId="12" fillId="8" borderId="7" xfId="0" applyNumberFormat="1" applyFont="1" applyFill="1" applyBorder="1" applyAlignment="1">
      <x:alignment vertical="top" wrapText="1"/>
    </x:xf>
    <x:xf numFmtId="0" fontId="12" fillId="8" borderId="8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/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4E5"/>
        </x:patternFill>
      </x:fill>
    </x:dxf>
    <x:dxf>
      <x:font>
        <x:b/>
        <x:color rgb="FFB42318"/>
      </x:font>
      <x:fill>
        <x:patternFill patternType="solid">
          <x:bgColor rgb="FFFDE2DE"/>
        </x:patternFill>
      </x:fill>
    </x:dxf>
    <x:dxf>
      <x:font>
        <x:b/>
        <x:color rgb="FF9462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bffc156b34ebb" /><Relationship Type="http://schemas.openxmlformats.org/officeDocument/2006/relationships/theme" Target="/xl/theme/theme1.xml" Id="Rbb1c91739035406c" /><Relationship Type="http://schemas.openxmlformats.org/officeDocument/2006/relationships/sharedStrings" Target="/xl/sharedStrings.xml" Id="Rd0542ec751f343da" /><Relationship Type="http://schemas.openxmlformats.org/officeDocument/2006/relationships/worksheet" Target="/xl/worksheets/sheet1.xml" Id="R9caf2c2d4f2e47b9" /><Relationship Type="http://schemas.openxmlformats.org/officeDocument/2006/relationships/worksheet" Target="/xl/worksheets/sheet2.xml" Id="R1bcabd649df84b68" /></Relationships>
</file>

<file path=xl/tables/table1.xml><?xml version="1.0" encoding="utf-8"?>
<x:table xmlns:x="http://schemas.openxmlformats.org/spreadsheetml/2006/main" id="1" name="SystemTestCases" displayName="SystemTestCases" ref="A5:K50" headerRowCount="1" totalsRowCount="0" totalsRowShown="0">
  <x:tableColumns count="11">
    <x:tableColumn id="1" name="รหัส"/>
    <x:tableColumn id="2" name="โมดูล"/>
    <x:tableColumn id="3" name="ความสำคัญ"/>
    <x:tableColumn id="4" name="กรณีทดสอบ"/>
    <x:tableColumn id="5" name="เงื่อนไขก่อนทดสอบ"/>
    <x:tableColumn id="6" name="ขั้นตอน"/>
    <x:tableColumn id="7" name="ผลที่คาดหวัง"/>
    <x:tableColumn id="8" name="ผลจริง"/>
    <x:tableColumn id="9" name="สถานะ"/>
    <x:tableColumn id="10" name="หลักฐาน"/>
    <x:tableColumn id="11" name="วันที่ทดสอ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b0d978d49f496e" /></Relationships>
</file>

<file path=xl/worksheets/sheet1.xml><?xml version="1.0" encoding="utf-8"?>
<x:worksheet xmlns:x="http://schemas.openxmlformats.org/spreadsheetml/2006/main">
  <x:sheetPr>
    <x:tabColor rgb="FFCFF45A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20" hidden="0" customWidth="1"/>
    <x:col min="8" max="8" width="42" hidden="0" customWidth="1"/>
  </x:cols>
  <x:sheetData>
    <x:row r="1" ht="34" customHeight="1">
      <x:c r="A1" s="3" t="str">
        <x:v>UTHAI SMASH · SYSTEM TEST REPORT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6" t="str">
        <x:v>ผลทดสอบระบบครบวงจรบนข้อมูลแยกจากการใช้งานจริง · 20–21 ตุลาคม 2569</x:v>
      </x:c>
      <x:c r="B3" s="6"/>
      <x:c r="C3" s="6"/>
      <x:c r="D3" s="6"/>
      <x:c r="E3" s="6"/>
      <x:c r="F3" s="6"/>
      <x:c r="G3" s="6"/>
      <x:c r="H3" s="6"/>
    </x:row>
    <x:row r="4" ht="22" customHeight="1">
      <x:c r="A4" s="52"/>
      <x:c r="B4" s="52"/>
      <x:c r="C4" s="52"/>
      <x:c r="D4" s="52"/>
      <x:c r="E4" s="52"/>
      <x:c r="F4" s="52"/>
      <x:c r="G4" s="52"/>
      <x:c r="H4" s="52"/>
    </x:row>
    <x:row r="5" ht="22" customHeight="1">
      <x:c r="A5" s="9" t="str">
        <x:v>จำนวนเคส</x:v>
      </x:c>
      <x:c r="B5" s="9" t="str">
        <x:v>ผ่าน</x:v>
      </x:c>
      <x:c r="C5" s="9" t="str">
        <x:v>ไม่ผ่าน</x:v>
      </x:c>
      <x:c r="D5" s="9" t="str">
        <x:v>ยังไม่ทดสอบ</x:v>
      </x:c>
      <x:c r="E5" s="52"/>
      <x:c r="F5" s="14" t="str">
        <x:v>สภาพแวดล้อม</x:v>
      </x:c>
      <x:c r="G5" s="14" t="str">
        <x:v>ค่า</x:v>
      </x:c>
      <x:c r="H5" s="14" t="str">
        <x:v>หมายเหตุ</x:v>
      </x:c>
    </x:row>
    <x:row r="6" ht="22" customHeight="1">
      <x:c r="A6" s="13" t="n">
        <x:f>COUNTA('Test Cases'!$A$6:$A$50)</x:f>
        <x:v>45</x:v>
      </x:c>
      <x:c r="B6" s="13" t="n">
        <x:f>COUNTIF('Test Cases'!$I$6:$I$50,"PASS")</x:f>
        <x:v>40</x:v>
      </x:c>
      <x:c r="C6" s="13" t="n">
        <x:f>COUNTIF('Test Cases'!$I$6:$I$50,"FAIL")</x:f>
        <x:v>2</x:v>
      </x:c>
      <x:c r="D6" s="13" t="n">
        <x:f>COUNTIF('Test Cases'!$I$6:$I$50,"NOT RUN")</x:f>
        <x:v>3</x:v>
      </x:c>
      <x:c r="E6" s="52"/>
      <x:c r="F6" s="17" t="str">
        <x:v>Server</x:v>
      </x:c>
      <x:c r="G6" s="17" t="str">
        <x:v>Node.js + WebSocket</x:v>
      </x:c>
      <x:c r="H6" s="17" t="str">
        <x:v>ทดสอบแยกที่ 127.0.0.1:8091</x:v>
      </x:c>
    </x:row>
    <x:row r="7" ht="22" customHeight="1">
      <x:c r="A7" s="52"/>
      <x:c r="B7" s="52"/>
      <x:c r="C7" s="52"/>
      <x:c r="D7" s="52"/>
      <x:c r="E7" s="52"/>
      <x:c r="F7" s="17" t="str">
        <x:v>Storage</x:v>
      </x:c>
      <x:c r="G7" s="17" t="str">
        <x:v>JSON · schema v1</x:v>
      </x:c>
      <x:c r="H7" s="17" t="str">
        <x:v>ใช้ /tmp แยกจาก data/state.json จริง</x:v>
      </x:c>
    </x:row>
    <x:row r="8" ht="22" customHeight="1">
      <x:c r="A8" s="52"/>
      <x:c r="B8" s="52"/>
      <x:c r="C8" s="52"/>
      <x:c r="D8" s="52"/>
      <x:c r="E8" s="52"/>
      <x:c r="F8" s="17" t="str">
        <x:v>Automated</x:v>
      </x:c>
      <x:c r="G8" s="17" t="str">
        <x:v>pnpm check</x:v>
      </x:c>
      <x:c r="H8" s="17" t="str">
        <x:v>2/2 tests ผ่าน</x:v>
      </x:c>
    </x:row>
    <x:row r="9" ht="22" customHeight="1">
      <x:c r="A9" s="52"/>
      <x:c r="B9" s="52"/>
      <x:c r="C9" s="52"/>
      <x:c r="D9" s="52"/>
      <x:c r="E9" s="52"/>
      <x:c r="F9" s="17" t="str">
        <x:v>Revision</x:v>
      </x:c>
      <x:c r="G9" s="17" t="n">
        <x:v>29</x:v>
      </x:c>
      <x:c r="H9" s="17" t="str">
        <x:v>ยืนยันหลัง restart</x:v>
      </x:c>
    </x:row>
    <x:row r="10" ht="22" customHeight="1">
      <x:c r="A10" s="52"/>
      <x:c r="B10" s="52"/>
      <x:c r="C10" s="52"/>
      <x:c r="D10" s="52"/>
      <x:c r="E10" s="52"/>
      <x:c r="F10" s="52"/>
      <x:c r="G10" s="52"/>
      <x:c r="H10" s="52"/>
    </x:row>
    <x:row r="11" ht="22" customHeight="1">
      <x:c r="A11" s="18" t="str">
        <x:v>ผลตามโมดูล</x:v>
      </x:c>
      <x:c r="B11" s="18"/>
      <x:c r="C11" s="18"/>
      <x:c r="D11" s="18"/>
      <x:c r="E11" s="18"/>
      <x:c r="F11" s="52"/>
      <x:c r="G11" s="18" t="str">
        <x:v>ข้อค้นพบและช่องว่าง</x:v>
      </x:c>
      <x:c r="H11" s="18"/>
    </x:row>
    <x:row r="12" ht="38" customHeight="1">
      <x:c r="A12" s="21" t="str">
        <x:v>โมดูล</x:v>
      </x:c>
      <x:c r="B12" s="21" t="str">
        <x:v>ทั้งหมด</x:v>
      </x:c>
      <x:c r="C12" s="21" t="str">
        <x:v>PASS</x:v>
      </x:c>
      <x:c r="D12" s="21" t="str">
        <x:v>FAIL</x:v>
      </x:c>
      <x:c r="E12" s="21" t="str">
        <x:v>NOT RUN</x:v>
      </x:c>
      <x:c r="F12" s="52"/>
      <x:c r="G12" s="30" t="str">
        <x:v>TC-016 · FAIL</x:v>
      </x:c>
      <x:c r="H12" s="29" t="str">
        <x:v>บอร์ดคิวใช้ชื่อย่อซ้ำจนแยกคนไม่ได้ ควรแสดงชื่อเต็ม</x:v>
      </x:c>
    </x:row>
    <x:row r="13" ht="38" customHeight="1">
      <x:c r="A13" s="23" t="str">
        <x:v>Seed / API</x:v>
      </x:c>
      <x:c r="B13" s="24" t="n">
        <x:f>COUNTIF('Test Cases'!$B$6:$B$50,A13)</x:f>
        <x:v>3</x:v>
      </x:c>
      <x:c r="C13" s="24" t="n">
        <x:f>COUNTIFS('Test Cases'!$B$6:$B$50,A13,'Test Cases'!$I$6:$I$50,C$12)</x:f>
        <x:v>3</x:v>
      </x:c>
      <x:c r="D13" s="24" t="n">
        <x:f>COUNTIFS('Test Cases'!$B$6:$B$50,A13,'Test Cases'!$I$6:$I$50,D$12)</x:f>
        <x:v>0</x:v>
      </x:c>
      <x:c r="E13" s="24" t="n">
        <x:f>COUNTIFS('Test Cases'!$B$6:$B$50,A13,'Test Cases'!$I$6:$I$50,E$12)</x:f>
        <x:v>0</x:v>
      </x:c>
      <x:c r="F13" s="52"/>
      <x:c r="G13" s="30" t="str">
        <x:v>TC-017 · FAIL</x:v>
      </x:c>
      <x:c r="H13" s="29" t="str">
        <x:v>จำนวน Client ในข้อความ WebSocket ค้าง แม้ LIVE badge เปลี่ยน</x:v>
      </x:c>
    </x:row>
    <x:row r="14" ht="38" customHeight="1">
      <x:c r="A14" s="23" t="str">
        <x:v>Security</x:v>
      </x:c>
      <x:c r="B14" s="24" t="n">
        <x:f>COUNTIF('Test Cases'!$B$6:$B$50,A14)</x:f>
        <x:v>1</x:v>
      </x:c>
      <x:c r="C14" s="24" t="n">
        <x:f>COUNTIFS('Test Cases'!$B$6:$B$50,A14,'Test Cases'!$I$6:$I$50,C$12)</x:f>
        <x:v>1</x:v>
      </x:c>
      <x:c r="D14" s="24" t="n">
        <x:f>COUNTIFS('Test Cases'!$B$6:$B$50,A14,'Test Cases'!$I$6:$I$50,D$12)</x:f>
        <x:v>0</x:v>
      </x:c>
      <x:c r="E14" s="24" t="n">
        <x:f>COUNTIFS('Test Cases'!$B$6:$B$50,A14,'Test Cases'!$I$6:$I$50,E$12)</x:f>
        <x:v>0</x:v>
      </x:c>
      <x:c r="F14" s="52"/>
      <x:c r="G14" s="30" t="str">
        <x:v>TC-034 · NOT RUN</x:v>
      </x:c>
      <x:c r="H14" s="29" t="str">
        <x:v>ยังไม่ได้อัปโหลดไฟล์หลักฐานจริง</x:v>
      </x:c>
    </x:row>
    <x:row r="15" ht="38" customHeight="1">
      <x:c r="A15" s="23" t="str">
        <x:v>Admin / Auth</x:v>
      </x:c>
      <x:c r="B15" s="24" t="n">
        <x:f>COUNTIF('Test Cases'!$B$6:$B$50,A15)</x:f>
        <x:v>2</x:v>
      </x:c>
      <x:c r="C15" s="24" t="n">
        <x:f>COUNTIFS('Test Cases'!$B$6:$B$50,A15,'Test Cases'!$I$6:$I$50,C$12)</x:f>
        <x:v>2</x:v>
      </x:c>
      <x:c r="D15" s="24" t="n">
        <x:f>COUNTIFS('Test Cases'!$B$6:$B$50,A15,'Test Cases'!$I$6:$I$50,D$12)</x:f>
        <x:v>0</x:v>
      </x:c>
      <x:c r="E15" s="24" t="n">
        <x:f>COUNTIFS('Test Cases'!$B$6:$B$50,A15,'Test Cases'!$I$6:$I$50,E$12)</x:f>
        <x:v>0</x:v>
      </x:c>
      <x:c r="F15" s="52"/>
      <x:c r="G15" s="30" t="str">
        <x:v>TC-043 · NOT RUN</x:v>
      </x:c>
      <x:c r="H15" s="29" t="str">
        <x:v>ยังไม่ได้ทำ Visual regression ที่ 10/20 คิวและหลายขนาดจอ</x:v>
      </x:c>
    </x:row>
    <x:row r="16" ht="38" customHeight="1">
      <x:c r="A16" s="23" t="str">
        <x:v>Dashboard</x:v>
      </x:c>
      <x:c r="B16" s="24" t="n">
        <x:f>COUNTIF('Test Cases'!$B$6:$B$50,A16)</x:f>
        <x:v>2</x:v>
      </x:c>
      <x:c r="C16" s="24" t="n">
        <x:f>COUNTIFS('Test Cases'!$B$6:$B$50,A16,'Test Cases'!$I$6:$I$50,C$12)</x:f>
        <x:v>2</x:v>
      </x:c>
      <x:c r="D16" s="24" t="n">
        <x:f>COUNTIFS('Test Cases'!$B$6:$B$50,A16,'Test Cases'!$I$6:$I$50,D$12)</x:f>
        <x:v>0</x:v>
      </x:c>
      <x:c r="E16" s="24" t="n">
        <x:f>COUNTIFS('Test Cases'!$B$6:$B$50,A16,'Test Cases'!$I$6:$I$50,E$12)</x:f>
        <x:v>0</x:v>
      </x:c>
      <x:c r="F16" s="52"/>
      <x:c r="G16" s="30" t="str">
        <x:v>TC-044 · NOT RUN</x:v>
      </x:c>
      <x:c r="H16" s="29" t="str">
        <x:v>ยังไม่ได้ตรวจไฟล์รูปทวงเงินที่ดาวน์โหลด</x:v>
      </x:c>
    </x:row>
    <x:row r="17" ht="22" customHeight="1">
      <x:c r="A17" s="23" t="str">
        <x:v>สมาชิก</x:v>
      </x:c>
      <x:c r="B17" s="24" t="n">
        <x:f>COUNTIF('Test Cases'!$B$6:$B$50,A17)</x:f>
        <x:v>3</x:v>
      </x:c>
      <x:c r="C17" s="24" t="n">
        <x:f>COUNTIFS('Test Cases'!$B$6:$B$50,A17,'Test Cases'!$I$6:$I$50,C$12)</x:f>
        <x:v>3</x:v>
      </x:c>
      <x:c r="D17" s="24" t="n">
        <x:f>COUNTIFS('Test Cases'!$B$6:$B$50,A17,'Test Cases'!$I$6:$I$50,D$12)</x:f>
        <x:v>0</x:v>
      </x:c>
      <x:c r="E17" s="24" t="n">
        <x:f>COUNTIFS('Test Cases'!$B$6:$B$50,A17,'Test Cases'!$I$6:$I$50,E$12)</x:f>
        <x:v>0</x:v>
      </x:c>
      <x:c r="F17" s="52"/>
      <x:c r="G17" s="52"/>
      <x:c r="H17" s="52"/>
    </x:row>
    <x:row r="18" ht="22" customHeight="1">
      <x:c r="A18" s="23" t="str">
        <x:v>เช็คอิน</x:v>
      </x:c>
      <x:c r="B18" s="24" t="n">
        <x:f>COUNTIF('Test Cases'!$B$6:$B$50,A18)</x:f>
        <x:v>3</x:v>
      </x:c>
      <x:c r="C18" s="24" t="n">
        <x:f>COUNTIFS('Test Cases'!$B$6:$B$50,A18,'Test Cases'!$I$6:$I$50,C$12)</x:f>
        <x:v>3</x:v>
      </x:c>
      <x:c r="D18" s="24" t="n">
        <x:f>COUNTIFS('Test Cases'!$B$6:$B$50,A18,'Test Cases'!$I$6:$I$50,D$12)</x:f>
        <x:v>0</x:v>
      </x:c>
      <x:c r="E18" s="24" t="n">
        <x:f>COUNTIFS('Test Cases'!$B$6:$B$50,A18,'Test Cases'!$I$6:$I$50,E$12)</x:f>
        <x:v>0</x:v>
      </x:c>
      <x:c r="F18" s="52"/>
      <x:c r="G18" s="31" t="str">
        <x:v>ข้อสรุป</x:v>
      </x:c>
      <x:c r="H18" s="31"/>
    </x:row>
    <x:row r="19" ht="25" customHeight="1">
      <x:c r="A19" s="23" t="str">
        <x:v>คิว / สนาม</x:v>
      </x:c>
      <x:c r="B19" s="24" t="n">
        <x:f>COUNTIF('Test Cases'!$B$6:$B$50,A19)</x:f>
        <x:v>4</x:v>
      </x:c>
      <x:c r="C19" s="24" t="n">
        <x:f>COUNTIFS('Test Cases'!$B$6:$B$50,A19,'Test Cases'!$I$6:$I$50,C$12)</x:f>
        <x:v>4</x:v>
      </x:c>
      <x:c r="D19" s="24" t="n">
        <x:f>COUNTIFS('Test Cases'!$B$6:$B$50,A19,'Test Cases'!$I$6:$I$50,D$12)</x:f>
        <x:v>0</x:v>
      </x:c>
      <x:c r="E19" s="24" t="n">
        <x:f>COUNTIFS('Test Cases'!$B$6:$B$50,A19,'Test Cases'!$I$6:$I$50,E$12)</x:f>
        <x:v>0</x:v>
      </x:c>
      <x:c r="F19" s="52"/>
      <x:c r="G19" s="46" t="str">
        <x:v>Core flow ใช้งานได้ครบตั้งแต่สมาชิก → เช็คอิน → คิว/สนาม → เบิกลูก/ซื้อของ → สรุปและรับชำระ พร้อมการบันทึก JSON และ Real-time ควรแก้ชื่อเต็มบน Board ก่อนเปิดใช้งานจริง และเพิ่ม automated browser tests สำหรับไฟล์ดาวน์โหลด/อัปโหลดกับหน้าจอคิวหนาแน่น</x:v>
      </x:c>
      <x:c r="H19" s="47"/>
    </x:row>
    <x:row r="20" ht="25" customHeight="1">
      <x:c r="A20" s="23" t="str">
        <x:v>Board / Realtime</x:v>
      </x:c>
      <x:c r="B20" s="24" t="n">
        <x:f>COUNTIF('Test Cases'!$B$6:$B$50,A20)</x:f>
        <x:v>3</x:v>
      </x:c>
      <x:c r="C20" s="24" t="n">
        <x:f>COUNTIFS('Test Cases'!$B$6:$B$50,A20,'Test Cases'!$I$6:$I$50,C$12)</x:f>
        <x:v>1</x:v>
      </x:c>
      <x:c r="D20" s="24" t="n">
        <x:f>COUNTIFS('Test Cases'!$B$6:$B$50,A20,'Test Cases'!$I$6:$I$50,D$12)</x:f>
        <x:v>2</x:v>
      </x:c>
      <x:c r="E20" s="24" t="n">
        <x:f>COUNTIFS('Test Cases'!$B$6:$B$50,A20,'Test Cases'!$I$6:$I$50,E$12)</x:f>
        <x:v>0</x:v>
      </x:c>
      <x:c r="F20" s="52"/>
      <x:c r="G20" s="48"/>
      <x:c r="H20" s="49"/>
    </x:row>
    <x:row r="21" ht="25" customHeight="1">
      <x:c r="A21" s="23" t="str">
        <x:v>ผู้เล่น</x:v>
      </x:c>
      <x:c r="B21" s="24" t="n">
        <x:f>COUNTIF('Test Cases'!$B$6:$B$50,A21)</x:f>
        <x:v>2</x:v>
      </x:c>
      <x:c r="C21" s="24" t="n">
        <x:f>COUNTIFS('Test Cases'!$B$6:$B$50,A21,'Test Cases'!$I$6:$I$50,C$12)</x:f>
        <x:v>2</x:v>
      </x:c>
      <x:c r="D21" s="24" t="n">
        <x:f>COUNTIFS('Test Cases'!$B$6:$B$50,A21,'Test Cases'!$I$6:$I$50,D$12)</x:f>
        <x:v>0</x:v>
      </x:c>
      <x:c r="E21" s="24" t="n">
        <x:f>COUNTIFS('Test Cases'!$B$6:$B$50,A21,'Test Cases'!$I$6:$I$50,E$12)</x:f>
        <x:v>0</x:v>
      </x:c>
      <x:c r="F21" s="52"/>
      <x:c r="G21" s="48"/>
      <x:c r="H21" s="49"/>
    </x:row>
    <x:row r="22" ht="25" customHeight="1">
      <x:c r="A22" s="23" t="str">
        <x:v>เบิกลูก</x:v>
      </x:c>
      <x:c r="B22" s="24" t="n">
        <x:f>COUNTIF('Test Cases'!$B$6:$B$50,A22)</x:f>
        <x:v>4</x:v>
      </x:c>
      <x:c r="C22" s="24" t="n">
        <x:f>COUNTIFS('Test Cases'!$B$6:$B$50,A22,'Test Cases'!$I$6:$I$50,C$12)</x:f>
        <x:v>4</x:v>
      </x:c>
      <x:c r="D22" s="24" t="n">
        <x:f>COUNTIFS('Test Cases'!$B$6:$B$50,A22,'Test Cases'!$I$6:$I$50,D$12)</x:f>
        <x:v>0</x:v>
      </x:c>
      <x:c r="E22" s="24" t="n">
        <x:f>COUNTIFS('Test Cases'!$B$6:$B$50,A22,'Test Cases'!$I$6:$I$50,E$12)</x:f>
        <x:v>0</x:v>
      </x:c>
      <x:c r="F22" s="52"/>
      <x:c r="G22" s="48"/>
      <x:c r="H22" s="49"/>
    </x:row>
    <x:row r="23" ht="25" customHeight="1">
      <x:c r="A23" s="23" t="str">
        <x:v>ซื้อของ</x:v>
      </x:c>
      <x:c r="B23" s="24" t="n">
        <x:f>COUNTIF('Test Cases'!$B$6:$B$50,A23)</x:f>
        <x:v>3</x:v>
      </x:c>
      <x:c r="C23" s="24" t="n">
        <x:f>COUNTIFS('Test Cases'!$B$6:$B$50,A23,'Test Cases'!$I$6:$I$50,C$12)</x:f>
        <x:v>3</x:v>
      </x:c>
      <x:c r="D23" s="24" t="n">
        <x:f>COUNTIFS('Test Cases'!$B$6:$B$50,A23,'Test Cases'!$I$6:$I$50,D$12)</x:f>
        <x:v>0</x:v>
      </x:c>
      <x:c r="E23" s="24" t="n">
        <x:f>COUNTIFS('Test Cases'!$B$6:$B$50,A23,'Test Cases'!$I$6:$I$50,E$12)</x:f>
        <x:v>0</x:v>
      </x:c>
      <x:c r="F23" s="52"/>
      <x:c r="G23" s="50"/>
      <x:c r="H23" s="51"/>
    </x:row>
    <x:row r="24" ht="22" customHeight="1">
      <x:c r="A24" s="23" t="str">
        <x:v>การเงิน</x:v>
      </x:c>
      <x:c r="B24" s="24" t="n">
        <x:f>COUNTIF('Test Cases'!$B$6:$B$50,A24)</x:f>
        <x:v>7</x:v>
      </x:c>
      <x:c r="C24" s="24" t="n">
        <x:f>COUNTIFS('Test Cases'!$B$6:$B$50,A24,'Test Cases'!$I$6:$I$50,C$12)</x:f>
        <x:v>5</x:v>
      </x:c>
      <x:c r="D24" s="24" t="n">
        <x:f>COUNTIFS('Test Cases'!$B$6:$B$50,A24,'Test Cases'!$I$6:$I$50,D$12)</x:f>
        <x:v>0</x:v>
      </x:c>
      <x:c r="E24" s="24" t="n">
        <x:f>COUNTIFS('Test Cases'!$B$6:$B$50,A24,'Test Cases'!$I$6:$I$50,E$12)</x:f>
        <x:v>2</x:v>
      </x:c>
      <x:c r="F24" s="52"/>
      <x:c r="G24" s="52"/>
      <x:c r="H24" s="52"/>
    </x:row>
    <x:row r="25" ht="22" customHeight="1">
      <x:c r="A25" s="23" t="str">
        <x:v>ตั้งค่าระบบ</x:v>
      </x:c>
      <x:c r="B25" s="24" t="n">
        <x:f>COUNTIF('Test Cases'!$B$6:$B$50,A25)</x:f>
        <x:v>3</x:v>
      </x:c>
      <x:c r="C25" s="24" t="n">
        <x:f>COUNTIFS('Test Cases'!$B$6:$B$50,A25,'Test Cases'!$I$6:$I$50,C$12)</x:f>
        <x:v>3</x:v>
      </x:c>
      <x:c r="D25" s="24" t="n">
        <x:f>COUNTIFS('Test Cases'!$B$6:$B$50,A25,'Test Cases'!$I$6:$I$50,D$12)</x:f>
        <x:v>0</x:v>
      </x:c>
      <x:c r="E25" s="24" t="n">
        <x:f>COUNTIFS('Test Cases'!$B$6:$B$50,A25,'Test Cases'!$I$6:$I$50,E$12)</x:f>
        <x:v>0</x:v>
      </x:c>
      <x:c r="F25" s="52"/>
      <x:c r="G25" s="52"/>
      <x:c r="H25" s="52"/>
    </x:row>
    <x:row r="26" ht="22" customHeight="1">
      <x:c r="A26" s="23" t="str">
        <x:v>Persistence</x:v>
      </x:c>
      <x:c r="B26" s="24" t="n">
        <x:f>COUNTIF('Test Cases'!$B$6:$B$50,A26)</x:f>
        <x:v>1</x:v>
      </x:c>
      <x:c r="C26" s="24" t="n">
        <x:f>COUNTIFS('Test Cases'!$B$6:$B$50,A26,'Test Cases'!$I$6:$I$50,C$12)</x:f>
        <x:v>1</x:v>
      </x:c>
      <x:c r="D26" s="24" t="n">
        <x:f>COUNTIFS('Test Cases'!$B$6:$B$50,A26,'Test Cases'!$I$6:$I$50,D$12)</x:f>
        <x:v>0</x:v>
      </x:c>
      <x:c r="E26" s="24" t="n">
        <x:f>COUNTIFS('Test Cases'!$B$6:$B$50,A26,'Test Cases'!$I$6:$I$50,E$12)</x:f>
        <x:v>0</x:v>
      </x:c>
      <x:c r="F26" s="52"/>
      <x:c r="G26" s="52"/>
      <x:c r="H26" s="52"/>
    </x:row>
    <x:row r="27" ht="22" customHeight="1">
      <x:c r="A27" s="23" t="str">
        <x:v>WebSocket</x:v>
      </x:c>
      <x:c r="B27" s="24" t="n">
        <x:f>COUNTIF('Test Cases'!$B$6:$B$50,A27)</x:f>
        <x:v>1</x:v>
      </x:c>
      <x:c r="C27" s="24" t="n">
        <x:f>COUNTIFS('Test Cases'!$B$6:$B$50,A27,'Test Cases'!$I$6:$I$50,C$12)</x:f>
        <x:v>1</x:v>
      </x:c>
      <x:c r="D27" s="24" t="n">
        <x:f>COUNTIFS('Test Cases'!$B$6:$B$50,A27,'Test Cases'!$I$6:$I$50,D$12)</x:f>
        <x:v>0</x:v>
      </x:c>
      <x:c r="E27" s="24" t="n">
        <x:f>COUNTIFS('Test Cases'!$B$6:$B$50,A27,'Test Cases'!$I$6:$I$50,E$12)</x:f>
        <x:v>0</x:v>
      </x:c>
      <x:c r="F27" s="52"/>
      <x:c r="G27" s="52"/>
      <x:c r="H27" s="52"/>
    </x:row>
    <x:row r="28" ht="22" customHeight="1">
      <x:c r="A28" s="23" t="str">
        <x:v>Migration</x:v>
      </x:c>
      <x:c r="B28" s="24" t="n">
        <x:f>COUNTIF('Test Cases'!$B$6:$B$50,A28)</x:f>
        <x:v>1</x:v>
      </x:c>
      <x:c r="C28" s="24" t="n">
        <x:f>COUNTIFS('Test Cases'!$B$6:$B$50,A28,'Test Cases'!$I$6:$I$50,C$12)</x:f>
        <x:v>1</x:v>
      </x:c>
      <x:c r="D28" s="24" t="n">
        <x:f>COUNTIFS('Test Cases'!$B$6:$B$50,A28,'Test Cases'!$I$6:$I$50,D$12)</x:f>
        <x:v>0</x:v>
      </x:c>
      <x:c r="E28" s="24" t="n">
        <x:f>COUNTIFS('Test Cases'!$B$6:$B$50,A28,'Test Cases'!$I$6:$I$50,E$12)</x:f>
        <x:v>0</x:v>
      </x:c>
      <x:c r="F28" s="52"/>
      <x:c r="G28" s="52"/>
      <x:c r="H28" s="52"/>
    </x:row>
    <x:row r="29" ht="22" customHeight="1">
      <x:c r="A29" s="23" t="str">
        <x:v>Board / Responsive</x:v>
      </x:c>
      <x:c r="B29" s="24" t="n">
        <x:f>COUNTIF('Test Cases'!$B$6:$B$50,A29)</x:f>
        <x:v>1</x:v>
      </x:c>
      <x:c r="C29" s="24" t="n">
        <x:f>COUNTIFS('Test Cases'!$B$6:$B$50,A29,'Test Cases'!$I$6:$I$50,C$12)</x:f>
        <x:v>0</x:v>
      </x:c>
      <x:c r="D29" s="24" t="n">
        <x:f>COUNTIFS('Test Cases'!$B$6:$B$50,A29,'Test Cases'!$I$6:$I$50,D$12)</x:f>
        <x:v>0</x:v>
      </x:c>
      <x:c r="E29" s="24" t="n">
        <x:f>COUNTIFS('Test Cases'!$B$6:$B$50,A29,'Test Cases'!$I$6:$I$50,E$12)</x:f>
        <x:v>1</x:v>
      </x:c>
      <x:c r="F29" s="52"/>
      <x:c r="G29" s="52"/>
      <x:c r="H29" s="52"/>
    </x:row>
    <x:row r="30" ht="22" customHeight="1">
      <x:c r="A30" s="23" t="str">
        <x:v>Routing</x:v>
      </x:c>
      <x:c r="B30" s="24" t="n">
        <x:f>COUNTIF('Test Cases'!$B$6:$B$50,A30)</x:f>
        <x:v>1</x:v>
      </x:c>
      <x:c r="C30" s="24" t="n">
        <x:f>COUNTIFS('Test Cases'!$B$6:$B$50,A30,'Test Cases'!$I$6:$I$50,C$12)</x:f>
        <x:v>1</x:v>
      </x:c>
      <x:c r="D30" s="24" t="n">
        <x:f>COUNTIFS('Test Cases'!$B$6:$B$50,A30,'Test Cases'!$I$6:$I$50,D$12)</x:f>
        <x:v>0</x:v>
      </x:c>
      <x:c r="E30" s="24" t="n">
        <x:f>COUNTIFS('Test Cases'!$B$6:$B$50,A30,'Test Cases'!$I$6:$I$50,E$12)</x:f>
        <x:v>0</x:v>
      </x:c>
      <x:c r="F30" s="52"/>
      <x:c r="G30" s="52"/>
      <x:c r="H30" s="52"/>
    </x:row>
    <x:row r="31" ht="22" customHeight="1">
      <x:c r="A31" s="52"/>
      <x:c r="B31" s="52"/>
      <x:c r="C31" s="52"/>
      <x:c r="D31" s="52"/>
      <x:c r="E31" s="52"/>
      <x:c r="F31" s="52"/>
      <x:c r="G31" s="52"/>
      <x:c r="H31" s="52"/>
    </x:row>
  </x:sheetData>
  <x:mergeCells>
    <x:mergeCell ref="A1:H2"/>
    <x:mergeCell ref="A3:H3"/>
    <x:mergeCell ref="A11:E11"/>
    <x:mergeCell ref="G11:H11"/>
    <x:mergeCell ref="G18:H18"/>
    <x:mergeCell ref="G19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453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34" hidden="0" customWidth="1"/>
    <x:col min="5" max="5" width="30" hidden="0" customWidth="1"/>
    <x:col min="6" max="6" width="40" hidden="0" customWidth="1"/>
    <x:col min="7" max="7" width="40" hidden="0" customWidth="1"/>
    <x:col min="8" max="8" width="44" hidden="0" customWidth="1"/>
    <x:col min="9" max="9" width="13" hidden="0" customWidth="1"/>
    <x:col min="10" max="10" width="26" hidden="0" customWidth="1"/>
    <x:col min="11" max="11" width="18" hidden="0" customWidth="1"/>
  </x:cols>
  <x:sheetData>
    <x:row r="1" ht="33" customHeight="1">
      <x:c r="A1" s="54" t="str">
        <x:v>UTHAI SMASH · รายการทดสอบทั้งระบบ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</x:row>
    <x:row r="2" ht="33" customHeight="1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</x:row>
    <x:row r="3" ht="24" customHeight="1">
      <x:c r="A3" s="55" t="str">
        <x:v>ใช้ข้อมูลทดสอบในไฟล์ชั่วคราว ไม่แก้ไข data/state.json ของการใช้งานจริง · ดูสรุปในชีต สรุปผล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</x:row>
    <x:row r="5" ht="36" customHeight="1">
      <x:c r="A5" s="58" t="str">
        <x:v>รหัส</x:v>
      </x:c>
      <x:c r="B5" s="58" t="str">
        <x:v>โมดูล</x:v>
      </x:c>
      <x:c r="C5" s="58" t="str">
        <x:v>ความสำคัญ</x:v>
      </x:c>
      <x:c r="D5" s="58" t="str">
        <x:v>กรณีทดสอบ</x:v>
      </x:c>
      <x:c r="E5" s="58" t="str">
        <x:v>เงื่อนไขก่อนทดสอบ</x:v>
      </x:c>
      <x:c r="F5" s="58" t="str">
        <x:v>ขั้นตอน</x:v>
      </x:c>
      <x:c r="G5" s="58" t="str">
        <x:v>ผลที่คาดหวัง</x:v>
      </x:c>
      <x:c r="H5" s="58" t="str">
        <x:v>ผลจริง</x:v>
      </x:c>
      <x:c r="I5" s="58" t="str">
        <x:v>สถานะ</x:v>
      </x:c>
      <x:c r="J5" s="58" t="str">
        <x:v>หลักฐาน</x:v>
      </x:c>
      <x:c r="K5" s="58" t="str">
        <x:v>วันที่ทดสอบ</x:v>
      </x:c>
    </x:row>
    <x:row r="6" ht="66" customHeight="1">
      <x:c r="A6" s="62" t="str">
        <x:v>TC-001</x:v>
      </x:c>
      <x:c r="B6" s="62" t="str">
        <x:v>Seed / API</x:v>
      </x:c>
      <x:c r="C6" s="62" t="str">
        <x:v>สูง</x:v>
      </x:c>
      <x:c r="D6" s="61" t="str">
        <x:v>เริ่มระบบใหม่ด้วยข้อมูลปฏิบัติการว่าง</x:v>
      </x:c>
      <x:c r="E6" s="61" t="str">
        <x:v>ใช้ data file ใหม่</x:v>
      </x:c>
      <x:c r="F6" s="61" t="str">
        <x:v>เริ่ม Server แล้วเรียก GET /api/state</x:v>
      </x:c>
      <x:c r="G6" s="61" t="str">
        <x:v>สมาชิก คิว รายการเบิก ซื้อ และชำระเงินเป็นศูนย์</x:v>
      </x:c>
      <x:c r="H6" s="61" t="str">
        <x:v>ข้อมูลปฏิบัติการเป็นศูนย์ และมี 4 สนาม</x:v>
      </x:c>
      <x:c r="I6" s="62" t="str">
        <x:v>PASS</x:v>
      </x:c>
      <x:c r="J6" s="62" t="str">
        <x:v>API บน Server ทดสอบแยก port 8091</x:v>
      </x:c>
      <x:c r="K6" s="62" t="str">
        <x:v>20 ต.ค. 2569</x:v>
      </x:c>
    </x:row>
    <x:row r="7" ht="66" customHeight="1">
      <x:c r="A7" s="62" t="str">
        <x:v>TC-002</x:v>
      </x:c>
      <x:c r="B7" s="62" t="str">
        <x:v>Seed / API</x:v>
      </x:c>
      <x:c r="C7" s="62" t="str">
        <x:v>สูง</x:v>
      </x:c>
      <x:c r="D7" s="61" t="str">
        <x:v>Master data พร้อมใช้งานหลังเริ่มระบบ</x:v>
      </x:c>
      <x:c r="E7" s="61" t="str">
        <x:v>ใช้ Seed ที่ commit ใน repo</x:v>
      </x:c>
      <x:c r="F7" s="61" t="str">
        <x:v>ตรวจสนาม รุ่นลูกแบด สินค้า และระดับมือ</x:v>
      </x:c>
      <x:c r="G7" s="61" t="str">
        <x:v>มี Master ที่จำเป็นโดยไม่มีข้อมูลบุคคลปลอม</x:v>
      </x:c>
      <x:c r="H7" s="61" t="str">
        <x:v>พบ 4 สนาม 3 รุ่นลูกแบด 4 สินค้า และระดับมือ</x:v>
      </x:c>
      <x:c r="I7" s="62" t="str">
        <x:v>PASS</x:v>
      </x:c>
      <x:c r="J7" s="62" t="str">
        <x:v>GET /api/state</x:v>
      </x:c>
      <x:c r="K7" s="62" t="str">
        <x:v>20 ต.ค. 2569</x:v>
      </x:c>
    </x:row>
    <x:row r="8" ht="66" customHeight="1">
      <x:c r="A8" s="62" t="str">
        <x:v>TC-003</x:v>
      </x:c>
      <x:c r="B8" s="62" t="str">
        <x:v>Seed / API</x:v>
      </x:c>
      <x:c r="C8" s="62" t="str">
        <x:v>สูง</x:v>
      </x:c>
      <x:c r="D8" s="61" t="str">
        <x:v>Health endpoint รายงานสถานะ Server</x:v>
      </x:c>
      <x:c r="E8" s="61" t="str">
        <x:v>Server ทำงาน</x:v>
      </x:c>
      <x:c r="F8" s="61" t="str">
        <x:v>เรียก GET /api/health</x:v>
      </x:c>
      <x:c r="G8" s="61" t="str">
        <x:v>ตอบ ok พร้อม schema, revision และสถานะ persistence</x:v>
      </x:c>
      <x:c r="H8" s="61" t="str">
        <x:v>ตอบ ok=true, schemaVersion=1, revision=29, persisted=true</x:v>
      </x:c>
      <x:c r="I8" s="62" t="str">
        <x:v>PASS</x:v>
      </x:c>
      <x:c r="J8" s="62" t="str">
        <x:v>curl /api/health</x:v>
      </x:c>
      <x:c r="K8" s="62" t="str">
        <x:v>21 ต.ค. 2569</x:v>
      </x:c>
    </x:row>
    <x:row r="9" ht="66" customHeight="1">
      <x:c r="A9" s="62" t="str">
        <x:v>TC-004</x:v>
      </x:c>
      <x:c r="B9" s="62" t="str">
        <x:v>Security</x:v>
      </x:c>
      <x:c r="C9" s="62" t="str">
        <x:v>สูง</x:v>
      </x:c>
      <x:c r="D9" s="61" t="str">
        <x:v>ป้องกันการเปิดไฟล์ข้อมูลผ่าน Static URL</x:v>
      </x:c>
      <x:c r="E9" s="61" t="str">
        <x:v>Server ทำงาน</x:v>
      </x:c>
      <x:c r="F9" s="61" t="str">
        <x:v>เปิด /data/seed.json</x:v>
      </x:c>
      <x:c r="G9" s="61" t="str">
        <x:v>ไม่สามารถอ่านไฟล์ data จากเว็บได้</x:v>
      </x:c>
      <x:c r="H9" s="61" t="str">
        <x:v>ตอบ HTTP 404</x:v>
      </x:c>
      <x:c r="I9" s="62" t="str">
        <x:v>PASS</x:v>
      </x:c>
      <x:c r="J9" s="62" t="str">
        <x:v>curl HTTP status</x:v>
      </x:c>
      <x:c r="K9" s="62" t="str">
        <x:v>21 ต.ค. 2569</x:v>
      </x:c>
    </x:row>
    <x:row r="10" ht="66" customHeight="1">
      <x:c r="A10" s="62" t="str">
        <x:v>TC-005</x:v>
      </x:c>
      <x:c r="B10" s="62" t="str">
        <x:v>Admin / Auth</x:v>
      </x:c>
      <x:c r="C10" s="62" t="str">
        <x:v>สูง</x:v>
      </x:c>
      <x:c r="D10" s="61" t="str">
        <x:v>ปฏิเสธ PIN ผู้ดูแลที่ไม่ถูกต้อง</x:v>
      </x:c>
      <x:c r="E10" s="61" t="str">
        <x:v>เปิดหน้า Admin</x:v>
      </x:c>
      <x:c r="F10" s="61" t="str">
        <x:v>กรอก 1111 แล้วกดเข้าสู่ระบบ</x:v>
      </x:c>
      <x:c r="G10" s="61" t="str">
        <x:v>แจ้ง PIN ไม่ถูกต้องและไม่เปิดหน้า Admin</x:v>
      </x:c>
      <x:c r="H10" s="61" t="str">
        <x:v>แสดงข้อความ PIN ไม่ถูกต้อง กรุณาลองใหม่</x:v>
      </x:c>
      <x:c r="I10" s="62" t="str">
        <x:v>PASS</x:v>
      </x:c>
      <x:c r="J10" s="62" t="str">
        <x:v>UI manual</x:v>
      </x:c>
      <x:c r="K10" s="62" t="str">
        <x:v>20 ต.ค. 2569</x:v>
      </x:c>
    </x:row>
    <x:row r="11" ht="66" customHeight="1">
      <x:c r="A11" s="62" t="str">
        <x:v>TC-006</x:v>
      </x:c>
      <x:c r="B11" s="62" t="str">
        <x:v>Admin / Auth</x:v>
      </x:c>
      <x:c r="C11" s="62" t="str">
        <x:v>สูง</x:v>
      </x:c>
      <x:c r="D11" s="61" t="str">
        <x:v>เข้าสู่ระบบด้วย PIN เริ่มต้น</x:v>
      </x:c>
      <x:c r="E11" s="61" t="str">
        <x:v>เปิดหน้า Admin</x:v>
      </x:c>
      <x:c r="F11" s="61" t="str">
        <x:v>กรอก 8888 แล้วกดเข้าสู่ระบบ</x:v>
      </x:c>
      <x:c r="G11" s="61" t="str">
        <x:v>เปิด Dashboard ผู้ดูแล</x:v>
      </x:c>
      <x:c r="H11" s="61" t="str">
        <x:v>เข้าสู่ Dashboard สำเร็จ</x:v>
      </x:c>
      <x:c r="I11" s="62" t="str">
        <x:v>PASS</x:v>
      </x:c>
      <x:c r="J11" s="62" t="str">
        <x:v>UI manual</x:v>
      </x:c>
      <x:c r="K11" s="62" t="str">
        <x:v>20 ต.ค. 2569</x:v>
      </x:c>
    </x:row>
    <x:row r="12" ht="66" customHeight="1">
      <x:c r="A12" s="62" t="str">
        <x:v>TC-007</x:v>
      </x:c>
      <x:c r="B12" s="62" t="str">
        <x:v>Dashboard</x:v>
      </x:c>
      <x:c r="C12" s="62" t="str">
        <x:v>กลาง</x:v>
      </x:c>
      <x:c r="D12" s="61" t="str">
        <x:v>Dashboard เริ่มต้นเมื่อยังไม่มีรายการ</x:v>
      </x:c>
      <x:c r="E12" s="61" t="str">
        <x:v>ใช้ข้อมูล Seed ใหม่</x:v>
      </x:c>
      <x:c r="F12" s="61" t="str">
        <x:v>เปิดหน้า Dashboard</x:v>
      </x:c>
      <x:c r="G12" s="61" t="str">
        <x:v>ยอดรายรับ เกม ลูก และยอดค้างเป็นศูนย์</x:v>
      </x:c>
      <x:c r="H12" s="61" t="str">
        <x:v>ค่าทั้งหมดเป็นศูนย์ก่อนสร้างข้อมูลทดสอบ</x:v>
      </x:c>
      <x:c r="I12" s="62" t="str">
        <x:v>PASS</x:v>
      </x:c>
      <x:c r="J12" s="62" t="str">
        <x:v>UI manual</x:v>
      </x:c>
      <x:c r="K12" s="62" t="str">
        <x:v>20 ต.ค. 2569</x:v>
      </x:c>
    </x:row>
    <x:row r="13" ht="66" customHeight="1">
      <x:c r="A13" s="62" t="str">
        <x:v>TC-008</x:v>
      </x:c>
      <x:c r="B13" s="62" t="str">
        <x:v>Dashboard</x:v>
      </x:c>
      <x:c r="C13" s="62" t="str">
        <x:v>สูง</x:v>
      </x:c>
      <x:c r="D13" s="61" t="str">
        <x:v>ตัวกรองรายวัน รายเดือน รายปี</x:v>
      </x:c>
      <x:c r="E13" s="61" t="str">
        <x:v>มีข้อมูลรายรับทดสอบ</x:v>
      </x:c>
      <x:c r="F13" s="61" t="str">
        <x:v>กด วันนี้ เดือนนี้ และปีนี้</x:v>
      </x:c>
      <x:c r="G13" s="61" t="str">
        <x:v>หัวข้อและชุดข้อมูลเปลี่ยนตามช่วงเวลา</x:v>
      </x:c>
      <x:c r="H13" s="61" t="str">
        <x:v>แสดง รายรับวันนี้ / รายสัปดาห์เดือนนี้ / รายเดือนปีนี้</x:v>
      </x:c>
      <x:c r="I13" s="62" t="str">
        <x:v>PASS</x:v>
      </x:c>
      <x:c r="J13" s="62" t="str">
        <x:v>UI manual</x:v>
      </x:c>
      <x:c r="K13" s="62" t="str">
        <x:v>21 ต.ค. 2569</x:v>
      </x:c>
    </x:row>
    <x:row r="14" ht="66" customHeight="1">
      <x:c r="A14" s="62" t="str">
        <x:v>TC-009</x:v>
      </x:c>
      <x:c r="B14" s="62" t="str">
        <x:v>สมาชิก</x:v>
      </x:c>
      <x:c r="C14" s="62" t="str">
        <x:v>สูง</x:v>
      </x:c>
      <x:c r="D14" s="61" t="str">
        <x:v>เพิ่มสมาชิกโดยไม่กรอกเบอร์โทร</x:v>
      </x:c>
      <x:c r="E14" s="61" t="str">
        <x:v>เข้าสู่เมนูสมาชิก</x:v>
      </x:c>
      <x:c r="F14" s="61" t="str">
        <x:v>เพิ่ม ทดสอบ เอ โดยเว้นเบอร์โทร</x:v>
      </x:c>
      <x:c r="G14" s="61" t="str">
        <x:v>บันทึกได้และแสดงว่าไม่ระบุเบอร์โทร</x:v>
      </x:c>
      <x:c r="H14" s="61" t="str">
        <x:v>บันทึกสำเร็จ แสดง ไม่ระบุเบอร์โทร</x:v>
      </x:c>
      <x:c r="I14" s="62" t="str">
        <x:v>PASS</x:v>
      </x:c>
      <x:c r="J14" s="62" t="str">
        <x:v>UI manual</x:v>
      </x:c>
      <x:c r="K14" s="62" t="str">
        <x:v>20 ต.ค. 2569</x:v>
      </x:c>
    </x:row>
    <x:row r="15" ht="66" customHeight="1">
      <x:c r="A15" s="62" t="str">
        <x:v>TC-010</x:v>
      </x:c>
      <x:c r="B15" s="62" t="str">
        <x:v>สมาชิก</x:v>
      </x:c>
      <x:c r="C15" s="62" t="str">
        <x:v>กลาง</x:v>
      </x:c>
      <x:c r="D15" s="61" t="str">
        <x:v>รองรับประเภทสมาชิกและระดับมือ</x:v>
      </x:c>
      <x:c r="E15" s="61" t="str">
        <x:v>มีหน้าเพิ่มสมาชิก</x:v>
      </x:c>
      <x:c r="F15" s="61" t="str">
        <x:v>เพิ่มสมาชิกชมรม/บุคคลภายนอก ระดับ BG/N/S</x:v>
      </x:c>
      <x:c r="G15" s="61" t="str">
        <x:v>ข้อมูลประเภทและระดับแสดงถูกต้อง</x:v>
      </x:c>
      <x:c r="H15" s="61" t="str">
        <x:v>สร้างผู้เล่น 4 คนต่างประเภทและระดับได้</x:v>
      </x:c>
      <x:c r="I15" s="62" t="str">
        <x:v>PASS</x:v>
      </x:c>
      <x:c r="J15" s="62" t="str">
        <x:v>UI manual</x:v>
      </x:c>
      <x:c r="K15" s="62" t="str">
        <x:v>20 ต.ค. 2569</x:v>
      </x:c>
    </x:row>
    <x:row r="16" ht="66" customHeight="1">
      <x:c r="A16" s="62" t="str">
        <x:v>TC-011</x:v>
      </x:c>
      <x:c r="B16" s="62" t="str">
        <x:v>สมาชิก</x:v>
      </x:c>
      <x:c r="C16" s="62" t="str">
        <x:v>กลาง</x:v>
      </x:c>
      <x:c r="D16" s="61" t="str">
        <x:v>ค้นหาสมาชิกด้วยเบอร์โทร</x:v>
      </x:c>
      <x:c r="E16" s="61" t="str">
        <x:v>มีสมาชิกที่มีเบอร์ 0811111111</x:v>
      </x:c>
      <x:c r="F16" s="61" t="str">
        <x:v>พิมพ์เบอร์ในช่องค้นหาแล้วล้างตัวกรอง</x:v>
      </x:c>
      <x:c r="G16" s="61" t="str">
        <x:v>แสดงเฉพาะรายการตรงกันและกลับมาแสดงครบเมื่อล้าง</x:v>
      </x:c>
      <x:c r="H16" s="61" t="str">
        <x:v>พบเฉพาะ ทดสอบ บี แล้วกลับมาแสดงครบ</x:v>
      </x:c>
      <x:c r="I16" s="62" t="str">
        <x:v>PASS</x:v>
      </x:c>
      <x:c r="J16" s="62" t="str">
        <x:v>UI manual</x:v>
      </x:c>
      <x:c r="K16" s="62" t="str">
        <x:v>20 ต.ค. 2569</x:v>
      </x:c>
    </x:row>
    <x:row r="17" ht="66" customHeight="1">
      <x:c r="A17" s="62" t="str">
        <x:v>TC-012</x:v>
      </x:c>
      <x:c r="B17" s="62" t="str">
        <x:v>เช็คอิน</x:v>
      </x:c>
      <x:c r="C17" s="62" t="str">
        <x:v>สูง</x:v>
      </x:c>
      <x:c r="D17" s="61" t="str">
        <x:v>เช็คอินหลายคนพร้อมกัน</x:v>
      </x:c>
      <x:c r="E17" s="61" t="str">
        <x:v>มีสมาชิก 4 คน</x:v>
      </x:c>
      <x:c r="F17" s="61" t="str">
        <x:v>เลือกทั้ง 4 คนแล้วกดยืนยันเช็คอิน</x:v>
      </x:c>
      <x:c r="G17" s="61" t="str">
        <x:v>ทุกคนเปลี่ยนเป็นอยู่ในโรงยิม</x:v>
      </x:c>
      <x:c r="H17" s="61" t="str">
        <x:v>เช็คอินสำเร็จ 4 คน</x:v>
      </x:c>
      <x:c r="I17" s="62" t="str">
        <x:v>PASS</x:v>
      </x:c>
      <x:c r="J17" s="62" t="str">
        <x:v>UI manual</x:v>
      </x:c>
      <x:c r="K17" s="62" t="str">
        <x:v>20 ต.ค. 2569</x:v>
      </x:c>
    </x:row>
    <x:row r="18" ht="66" customHeight="1">
      <x:c r="A18" s="62" t="str">
        <x:v>TC-013</x:v>
      </x:c>
      <x:c r="B18" s="62" t="str">
        <x:v>เช็คอิน</x:v>
      </x:c>
      <x:c r="C18" s="62" t="str">
        <x:v>สูง</x:v>
      </x:c>
      <x:c r="D18" s="61" t="str">
        <x:v>คิดค่าเข้าบุคคลภายนอก</x:v>
      </x:c>
      <x:c r="E18" s="61" t="str">
        <x:v>มีบุคคลภายนอก 2 คน</x:v>
      </x:c>
      <x:c r="F18" s="61" t="str">
        <x:v>เช็คอินครั้งแรกของวัน</x:v>
      </x:c>
      <x:c r="G18" s="61" t="str">
        <x:v>เพิ่มค่าเข้า 20 บาทต่อบุคคลภายนอก</x:v>
      </x:c>
      <x:c r="H18" s="61" t="str">
        <x:v>เพิ่มค่าเข้ารวม 40 บาท</x:v>
      </x:c>
      <x:c r="I18" s="62" t="str">
        <x:v>PASS</x:v>
      </x:c>
      <x:c r="J18" s="62" t="str">
        <x:v>UI manual</x:v>
      </x:c>
      <x:c r="K18" s="62" t="str">
        <x:v>20 ต.ค. 2569</x:v>
      </x:c>
    </x:row>
    <x:row r="19" ht="66" customHeight="1">
      <x:c r="A19" s="62" t="str">
        <x:v>TC-014</x:v>
      </x:c>
      <x:c r="B19" s="62" t="str">
        <x:v>คิว / สนาม</x:v>
      </x:c>
      <x:c r="C19" s="62" t="str">
        <x:v>สูง</x:v>
      </x:c>
      <x:c r="D19" s="61" t="str">
        <x:v>สร้างคิวผู้เล่น 4 คน</x:v>
      </x:c>
      <x:c r="E19" s="61" t="str">
        <x:v>ผู้เล่นทั้ง 4 เช็คอินแล้ว</x:v>
      </x:c>
      <x:c r="F19" s="61" t="str">
        <x:v>เลือก 4 คนและยืนยันลงคิว</x:v>
      </x:c>
      <x:c r="G19" s="61" t="str">
        <x:v>สร้างคิว Q01 และอยู่ในคิวรอ</x:v>
      </x:c>
      <x:c r="H19" s="61" t="str">
        <x:v>สร้าง Q01 สำเร็จ</x:v>
      </x:c>
      <x:c r="I19" s="62" t="str">
        <x:v>PASS</x:v>
      </x:c>
      <x:c r="J19" s="62" t="str">
        <x:v>UI manual</x:v>
      </x:c>
      <x:c r="K19" s="62" t="str">
        <x:v>20 ต.ค. 2569</x:v>
      </x:c>
    </x:row>
    <x:row r="20" ht="66" customHeight="1">
      <x:c r="A20" s="62" t="str">
        <x:v>TC-015</x:v>
      </x:c>
      <x:c r="B20" s="62" t="str">
        <x:v>Board / Realtime</x:v>
      </x:c>
      <x:c r="C20" s="62" t="str">
        <x:v>สูง</x:v>
      </x:c>
      <x:c r="D20" s="61" t="str">
        <x:v>บอร์ดรับคิวใหม่แบบ Real-time</x:v>
      </x:c>
      <x:c r="E20" s="61" t="str">
        <x:v>เปิด Board และ Admin พร้อมกัน</x:v>
      </x:c>
      <x:c r="F20" s="61" t="str">
        <x:v>สร้าง Q01 จาก Admin</x:v>
      </x:c>
      <x:c r="G20" s="61" t="str">
        <x:v>Board แสดง Q01 โดยไม่ต้องรีโหลด</x:v>
      </x:c>
      <x:c r="H20" s="61" t="str">
        <x:v>Board แสดง Q01 และจำนวนคิวรออัปเดตทันที</x:v>
      </x:c>
      <x:c r="I20" s="62" t="str">
        <x:v>PASS</x:v>
      </x:c>
      <x:c r="J20" s="62" t="str">
        <x:v>UI manual + WebSocket</x:v>
      </x:c>
      <x:c r="K20" s="62" t="str">
        <x:v>20 ต.ค. 2569</x:v>
      </x:c>
    </x:row>
    <x:row r="21" ht="66" customHeight="1">
      <x:c r="A21" s="62" t="str">
        <x:v>TC-016</x:v>
      </x:c>
      <x:c r="B21" s="62" t="str">
        <x:v>Board / Realtime</x:v>
      </x:c>
      <x:c r="C21" s="62" t="str">
        <x:v>สูง</x:v>
      </x:c>
      <x:c r="D21" s="61" t="str">
        <x:v>บอร์ดแสดงชื่อผู้เล่นเต็ม</x:v>
      </x:c>
      <x:c r="E21" s="61" t="str">
        <x:v>Q01 มี ทดสอบ เอ/บี/ซี/ดี</x:v>
      </x:c>
      <x:c r="F21" s="61" t="str">
        <x:v>ตรวจรายชื่อในคิวบน Board</x:v>
      </x:c>
      <x:c r="G21" s="61" t="str">
        <x:v>เห็นชื่อเต็มของผู้เล่นทั้ง 4 คน</x:v>
      </x:c>
      <x:c r="H21" s="61" t="str">
        <x:v>แสดงเพียง ทดสอบ · ทดสอบ · ทดสอบ · ทดสอบ</x:v>
      </x:c>
      <x:c r="I21" s="62" t="str">
        <x:v>FAIL</x:v>
      </x:c>
      <x:c r="J21" s="62" t="str">
        <x:v>พบจาก Board UI</x:v>
      </x:c>
      <x:c r="K21" s="62" t="str">
        <x:v>20 ต.ค. 2569</x:v>
      </x:c>
    </x:row>
    <x:row r="22" ht="66" customHeight="1">
      <x:c r="A22" s="62" t="str">
        <x:v>TC-017</x:v>
      </x:c>
      <x:c r="B22" s="62" t="str">
        <x:v>Board / Realtime</x:v>
      </x:c>
      <x:c r="C22" s="62" t="str">
        <x:v>ต่ำ</x:v>
      </x:c>
      <x:c r="D22" s="61" t="str">
        <x:v>จำนวนจอเชื่อมต่อบนบอร์ดสอดคล้องกัน</x:v>
      </x:c>
      <x:c r="E22" s="61" t="str">
        <x:v>เปิด Board, Player และ Admin</x:v>
      </x:c>
      <x:c r="F22" s="61" t="str">
        <x:v>เปรียบเทียบ LIVE badge กับข้อความ WebSocket ในบอร์ด</x:v>
      </x:c>
      <x:c r="G22" s="61" t="str">
        <x:v>จำนวน Client ตรงกันทุกตำแหน่ง</x:v>
      </x:c>
      <x:c r="H22" s="61" t="str">
        <x:v>Header แสดงหลาย Client แต่ข้อความในเนื้อหายังค้างที่ 0</x:v>
      </x:c>
      <x:c r="I22" s="62" t="str">
        <x:v>FAIL</x:v>
      </x:c>
      <x:c r="J22" s="62" t="str">
        <x:v>พบจาก Board UI</x:v>
      </x:c>
      <x:c r="K22" s="62" t="str">
        <x:v>20 ต.ค. 2569</x:v>
      </x:c>
    </x:row>
    <x:row r="23" ht="66" customHeight="1">
      <x:c r="A23" s="62" t="str">
        <x:v>TC-018</x:v>
      </x:c>
      <x:c r="B23" s="62" t="str">
        <x:v>ผู้เล่น</x:v>
      </x:c>
      <x:c r="C23" s="62" t="str">
        <x:v>สูง</x:v>
      </x:c>
      <x:c r="D23" s="61" t="str">
        <x:v>ค้นหาและเลือกตัวตนก่อนใช้งาน</x:v>
      </x:c>
      <x:c r="E23" s="61" t="str">
        <x:v>มีสมาชิกใน Master</x:v>
      </x:c>
      <x:c r="F23" s="61" t="str">
        <x:v>พิมพ์ค้นชื่อแล้วเลือกตัวเอง</x:v>
      </x:c>
      <x:c r="G23" s="61" t="str">
        <x:v>เข้า Personal view ของผู้เล่นคนนั้น</x:v>
      </x:c>
      <x:c r="H23" s="61" t="str">
        <x:v>เลือก ทดสอบ เอ และเปิดหน้าส่วนตัวได้</x:v>
      </x:c>
      <x:c r="I23" s="62" t="str">
        <x:v>PASS</x:v>
      </x:c>
      <x:c r="J23" s="62" t="str">
        <x:v>UI manual</x:v>
      </x:c>
      <x:c r="K23" s="62" t="str">
        <x:v>20 ต.ค. 2569</x:v>
      </x:c>
    </x:row>
    <x:row r="24" ht="66" customHeight="1">
      <x:c r="A24" s="62" t="str">
        <x:v>TC-019</x:v>
      </x:c>
      <x:c r="B24" s="62" t="str">
        <x:v>ผู้เล่น</x:v>
      </x:c>
      <x:c r="C24" s="62" t="str">
        <x:v>สูง</x:v>
      </x:c>
      <x:c r="D24" s="61" t="str">
        <x:v>ผู้เล่นเห็นสถานะ ยอด และคิวของตน</x:v>
      </x:c>
      <x:c r="E24" s="61" t="str">
        <x:v>เลือกตัวตนที่เช็คอินและอยู่ Q01</x:v>
      </x:c>
      <x:c r="F24" s="61" t="str">
        <x:v>เปิดหน้าผู้เล่น</x:v>
      </x:c>
      <x:c r="G24" s="61" t="str">
        <x:v>เห็นสถานะเช็คอิน ยอดค้าง และ Q01</x:v>
      </x:c>
      <x:c r="H24" s="61" t="str">
        <x:v>แสดงค่าเข้า 20 บาท สถานะเช็คอิน และ Q01</x:v>
      </x:c>
      <x:c r="I24" s="62" t="str">
        <x:v>PASS</x:v>
      </x:c>
      <x:c r="J24" s="62" t="str">
        <x:v>UI manual</x:v>
      </x:c>
      <x:c r="K24" s="62" t="str">
        <x:v>20 ต.ค. 2569</x:v>
      </x:c>
    </x:row>
    <x:row r="25" ht="66" customHeight="1">
      <x:c r="A25" s="62" t="str">
        <x:v>TC-020</x:v>
      </x:c>
      <x:c r="B25" s="62" t="str">
        <x:v>คิว / สนาม</x:v>
      </x:c>
      <x:c r="C25" s="62" t="str">
        <x:v>สูง</x:v>
      </x:c>
      <x:c r="D25" s="61" t="str">
        <x:v>นำคิวลงสนาม</x:v>
      </x:c>
      <x:c r="E25" s="61" t="str">
        <x:v>มี Q01 และสนามว่าง</x:v>
      </x:c>
      <x:c r="F25" s="61" t="str">
        <x:v>เลือกจัด Q01 ลงสนาม 1</x:v>
      </x:c>
      <x:c r="G25" s="61" t="str">
        <x:v>สนาม 1 เปลี่ยนเป็นกำลังเล่นและ Q01 ออกจากคิวรอ</x:v>
      </x:c>
      <x:c r="H25" s="61" t="str">
        <x:v>ทำงานถูกต้องและ Board อัปเดต</x:v>
      </x:c>
      <x:c r="I25" s="62" t="str">
        <x:v>PASS</x:v>
      </x:c>
      <x:c r="J25" s="62" t="str">
        <x:v>UI manual</x:v>
      </x:c>
      <x:c r="K25" s="62" t="str">
        <x:v>20 ต.ค. 2569</x:v>
      </x:c>
    </x:row>
    <x:row r="26" ht="66" customHeight="1">
      <x:c r="A26" s="62" t="str">
        <x:v>TC-021</x:v>
      </x:c>
      <x:c r="B26" s="62" t="str">
        <x:v>คิว / สนาม</x:v>
      </x:c>
      <x:c r="C26" s="62" t="str">
        <x:v>สูง</x:v>
      </x:c>
      <x:c r="D26" s="61" t="str">
        <x:v>คืนทีมจากสนามกลับไปรอคิว</x:v>
      </x:c>
      <x:c r="E26" s="61" t="str">
        <x:v>Q01 กำลังเล่นสนาม 1</x:v>
      </x:c>
      <x:c r="F26" s="61" t="str">
        <x:v>กดถอยกลับรอคิว</x:v>
      </x:c>
      <x:c r="G26" s="61" t="str">
        <x:v>สนามว่างและ Q01 กลับท้ายคิว</x:v>
      </x:c>
      <x:c r="H26" s="61" t="str">
        <x:v>Q01 กลับเป็นคิวรอและสนามว่าง</x:v>
      </x:c>
      <x:c r="I26" s="62" t="str">
        <x:v>PASS</x:v>
      </x:c>
      <x:c r="J26" s="62" t="str">
        <x:v>UI manual</x:v>
      </x:c>
      <x:c r="K26" s="62" t="str">
        <x:v>20 ต.ค. 2569</x:v>
      </x:c>
    </x:row>
    <x:row r="27" ht="66" customHeight="1">
      <x:c r="A27" s="62" t="str">
        <x:v>TC-022</x:v>
      </x:c>
      <x:c r="B27" s="62" t="str">
        <x:v>คิว / สนาม</x:v>
      </x:c>
      <x:c r="C27" s="62" t="str">
        <x:v>สูง</x:v>
      </x:c>
      <x:c r="D27" s="61" t="str">
        <x:v>จบเกมและคืนสนามให้คิวถัดไป</x:v>
      </x:c>
      <x:c r="E27" s="61" t="str">
        <x:v>Q01 กำลังเล่น</x:v>
      </x:c>
      <x:c r="F27" s="61" t="str">
        <x:v>กดเสร็จสิ้น</x:v>
      </x:c>
      <x:c r="G27" s="61" t="str">
        <x:v>เกมจบ สนามว่าง และไม่มีคิวค้างของเกมเดิม</x:v>
      </x:c>
      <x:c r="H27" s="61" t="str">
        <x:v>สนามว่างทั้ง 4 และไม่มีคิวรอ</x:v>
      </x:c>
      <x:c r="I27" s="62" t="str">
        <x:v>PASS</x:v>
      </x:c>
      <x:c r="J27" s="62" t="str">
        <x:v>UI manual</x:v>
      </x:c>
      <x:c r="K27" s="62" t="str">
        <x:v>20 ต.ค. 2569</x:v>
      </x:c>
    </x:row>
    <x:row r="28" ht="66" customHeight="1">
      <x:c r="A28" s="62" t="str">
        <x:v>TC-023</x:v>
      </x:c>
      <x:c r="B28" s="62" t="str">
        <x:v>เช็คอิน</x:v>
      </x:c>
      <x:c r="C28" s="62" t="str">
        <x:v>สูง</x:v>
      </x:c>
      <x:c r="D28" s="61" t="str">
        <x:v>เช็คเอาท์ผู้เล่นกลับบ้าน</x:v>
      </x:c>
      <x:c r="E28" s="61" t="str">
        <x:v>ผู้เล่นเช็คอินอยู่</x:v>
      </x:c>
      <x:c r="F28" s="61" t="str">
        <x:v>กดเช็คเอาท์</x:v>
      </x:c>
      <x:c r="G28" s="61" t="str">
        <x:v>สถานะเปลี่ยนเป็นกลับบ้านและไม่อยู่ในกลุ่มคนว่าง</x:v>
      </x:c>
      <x:c r="H28" s="61" t="str">
        <x:v>แสดง เช็คเอาท์แล้ว</x:v>
      </x:c>
      <x:c r="I28" s="62" t="str">
        <x:v>PASS</x:v>
      </x:c>
      <x:c r="J28" s="62" t="str">
        <x:v>UI manual</x:v>
      </x:c>
      <x:c r="K28" s="62" t="str">
        <x:v>20 ต.ค. 2569</x:v>
      </x:c>
    </x:row>
    <x:row r="29" ht="66" customHeight="1">
      <x:c r="A29" s="62" t="str">
        <x:v>TC-024</x:v>
      </x:c>
      <x:c r="B29" s="62" t="str">
        <x:v>เบิกลูก</x:v>
      </x:c>
      <x:c r="C29" s="62" t="str">
        <x:v>สูง</x:v>
      </x:c>
      <x:c r="D29" s="61" t="str">
        <x:v>เลือกชื่อผู้จ่ายซ้ำได้</x:v>
      </x:c>
      <x:c r="E29" s="61" t="str">
        <x:v>มีผู้เล่นอย่างน้อย 3 คน</x:v>
      </x:c>
      <x:c r="F29" s="61" t="str">
        <x:v>เลือกผู้เล่นช่อง 1 และ 2 เป็นคนเดียวกัน</x:v>
      </x:c>
      <x:c r="G29" s="61" t="str">
        <x:v>บันทึกรอบได้เพื่อรองรับการเลี้ยงอีกคน</x:v>
      </x:c>
      <x:c r="H29" s="61" t="str">
        <x:v>บันทึก [เอ, เอ, บี, ซี] สำเร็จ</x:v>
      </x:c>
      <x:c r="I29" s="62" t="str">
        <x:v>PASS</x:v>
      </x:c>
      <x:c r="J29" s="62" t="str">
        <x:v>UI manual</x:v>
      </x:c>
      <x:c r="K29" s="62" t="str">
        <x:v>20 ต.ค. 2569</x:v>
      </x:c>
    </x:row>
    <x:row r="30" ht="66" customHeight="1">
      <x:c r="A30" s="62" t="str">
        <x:v>TC-025</x:v>
      </x:c>
      <x:c r="B30" s="62" t="str">
        <x:v>เบิกลูก</x:v>
      </x:c>
      <x:c r="C30" s="62" t="str">
        <x:v>สูง</x:v>
      </x:c>
      <x:c r="D30" s="61" t="str">
        <x:v>คำนวณค่าลูกและหารตาม 4 ช่อง</x:v>
      </x:c>
      <x:c r="E30" s="61" t="str">
        <x:v>RSL Classic 90 บาท/ลูก และค่าระบบ 5 บาท/ลูก</x:v>
      </x:c>
      <x:c r="F30" s="61" t="str">
        <x:v>เบิก 2 ลูก</x:v>
      </x:c>
      <x:c r="G30" s="61" t="str">
        <x:v>รวม 190 บาท และ 47.50 บาทต่อช่อง</x:v>
      </x:c>
      <x:c r="H30" s="61" t="str">
        <x:v>แสดงรวม ฿190 และ ฿47.50 ต่อช่อง</x:v>
      </x:c>
      <x:c r="I30" s="62" t="str">
        <x:v>PASS</x:v>
      </x:c>
      <x:c r="J30" s="62" t="str">
        <x:v>UI manual</x:v>
      </x:c>
      <x:c r="K30" s="62" t="str">
        <x:v>20 ต.ค. 2569</x:v>
      </x:c>
    </x:row>
    <x:row r="31" ht="66" customHeight="1">
      <x:c r="A31" s="62" t="str">
        <x:v>TC-026</x:v>
      </x:c>
      <x:c r="B31" s="62" t="str">
        <x:v>เบิกลูก</x:v>
      </x:c>
      <x:c r="C31" s="62" t="str">
        <x:v>กลาง</x:v>
      </x:c>
      <x:c r="D31" s="61" t="str">
        <x:v>แก้ไขรายการเบิกลูกย้อนหลัง</x:v>
      </x:c>
      <x:c r="E31" s="61" t="str">
        <x:v>มีรายการ 2 ลูก</x:v>
      </x:c>
      <x:c r="F31" s="61" t="str">
        <x:v>แก้จำนวนเป็น 1 ลูก</x:v>
      </x:c>
      <x:c r="G31" s="61" t="str">
        <x:v>ยอดรวมและส่วนแบ่งคำนวณใหม่</x:v>
      </x:c>
      <x:c r="H31" s="61" t="str">
        <x:v>เปลี่ยนเป็น ฿95 และ ฿23.75 ต่อช่อง</x:v>
      </x:c>
      <x:c r="I31" s="62" t="str">
        <x:v>PASS</x:v>
      </x:c>
      <x:c r="J31" s="62" t="str">
        <x:v>UI manual</x:v>
      </x:c>
      <x:c r="K31" s="62" t="str">
        <x:v>20 ต.ค. 2569</x:v>
      </x:c>
    </x:row>
    <x:row r="32" ht="66" customHeight="1">
      <x:c r="A32" s="62" t="str">
        <x:v>TC-027</x:v>
      </x:c>
      <x:c r="B32" s="62" t="str">
        <x:v>เบิกลูก</x:v>
      </x:c>
      <x:c r="C32" s="62" t="str">
        <x:v>กลาง</x:v>
      </x:c>
      <x:c r="D32" s="61" t="str">
        <x:v>ลบรายการเบิกลูก</x:v>
      </x:c>
      <x:c r="E32" s="61" t="str">
        <x:v>มีรายการเบิกลูก</x:v>
      </x:c>
      <x:c r="F32" s="61" t="str">
        <x:v>กดลบรายการ</x:v>
      </x:c>
      <x:c r="G32" s="61" t="str">
        <x:v>รายการหายจากตารางและยอดรวมปรับ</x:v>
      </x:c>
      <x:c r="H32" s="61" t="str">
        <x:v>ตารางกลับเป็นสถานะว่าง</x:v>
      </x:c>
      <x:c r="I32" s="62" t="str">
        <x:v>PASS</x:v>
      </x:c>
      <x:c r="J32" s="62" t="str">
        <x:v>UI manual</x:v>
      </x:c>
      <x:c r="K32" s="62" t="str">
        <x:v>20 ต.ค. 2569</x:v>
      </x:c>
    </x:row>
    <x:row r="33" ht="66" customHeight="1">
      <x:c r="A33" s="62" t="str">
        <x:v>TC-028</x:v>
      </x:c>
      <x:c r="B33" s="62" t="str">
        <x:v>ซื้อของ</x:v>
      </x:c>
      <x:c r="C33" s="62" t="str">
        <x:v>สูง</x:v>
      </x:c>
      <x:c r="D33" s="61" t="str">
        <x:v>เพิ่มรายการซื้อของรายคน</x:v>
      </x:c>
      <x:c r="E33" s="61" t="str">
        <x:v>มีสมาชิกและสินค้าใน Master</x:v>
      </x:c>
      <x:c r="F33" s="61" t="str">
        <x:v>เลือกผู้ซื้อ น้ำ และจำนวน 2</x:v>
      </x:c>
      <x:c r="G33" s="61" t="str">
        <x:v>บันทึกรายการและผูกยอดกับผู้ซื้อ</x:v>
      </x:c>
      <x:c r="H33" s="61" t="str">
        <x:v>สร้างรายการน้ำสำเร็จ</x:v>
      </x:c>
      <x:c r="I33" s="62" t="str">
        <x:v>PASS</x:v>
      </x:c>
      <x:c r="J33" s="62" t="str">
        <x:v>UI manual</x:v>
      </x:c>
      <x:c r="K33" s="62" t="str">
        <x:v>20 ต.ค. 2569</x:v>
      </x:c>
    </x:row>
    <x:row r="34" ht="66" customHeight="1">
      <x:c r="A34" s="62" t="str">
        <x:v>TC-029</x:v>
      </x:c>
      <x:c r="B34" s="62" t="str">
        <x:v>ซื้อของ</x:v>
      </x:c>
      <x:c r="C34" s="62" t="str">
        <x:v>กลาง</x:v>
      </x:c>
      <x:c r="D34" s="61" t="str">
        <x:v>แก้ไขจำนวนซื้อย้อนหลัง</x:v>
      </x:c>
      <x:c r="E34" s="61" t="str">
        <x:v>มีรายการน้ำ 2 ชิ้น</x:v>
      </x:c>
      <x:c r="F34" s="61" t="str">
        <x:v>แก้เป็น 3 ชิ้น</x:v>
      </x:c>
      <x:c r="G34" s="61" t="str">
        <x:v>จำนวนและยอดรวมเปลี่ยนตามราคา</x:v>
      </x:c>
      <x:c r="H34" s="61" t="str">
        <x:v>เปลี่ยนเป็น 3 ชิ้นสำเร็จ</x:v>
      </x:c>
      <x:c r="I34" s="62" t="str">
        <x:v>PASS</x:v>
      </x:c>
      <x:c r="J34" s="62" t="str">
        <x:v>UI manual</x:v>
      </x:c>
      <x:c r="K34" s="62" t="str">
        <x:v>20 ต.ค. 2569</x:v>
      </x:c>
    </x:row>
    <x:row r="35" ht="66" customHeight="1">
      <x:c r="A35" s="62" t="str">
        <x:v>TC-030</x:v>
      </x:c>
      <x:c r="B35" s="62" t="str">
        <x:v>ซื้อของ</x:v>
      </x:c>
      <x:c r="C35" s="62" t="str">
        <x:v>กลาง</x:v>
      </x:c>
      <x:c r="D35" s="61" t="str">
        <x:v>ลบรายการซื้อของ</x:v>
      </x:c>
      <x:c r="E35" s="61" t="str">
        <x:v>มีรายการซื้อของ</x:v>
      </x:c>
      <x:c r="F35" s="61" t="str">
        <x:v>กดลบรายการ</x:v>
      </x:c>
      <x:c r="G35" s="61" t="str">
        <x:v>รายการหายและยอดของผู้ซื้อปรับ</x:v>
      </x:c>
      <x:c r="H35" s="61" t="str">
        <x:v>ลบสำเร็จ แล้วสร้างน้ำ 1 ชิ้นสำหรับทดสอบการเงิน</x:v>
      </x:c>
      <x:c r="I35" s="62" t="str">
        <x:v>PASS</x:v>
      </x:c>
      <x:c r="J35" s="62" t="str">
        <x:v>UI manual</x:v>
      </x:c>
      <x:c r="K35" s="62" t="str">
        <x:v>20 ต.ค. 2569</x:v>
      </x:c>
    </x:row>
    <x:row r="36" ht="66" customHeight="1">
      <x:c r="A36" s="62" t="str">
        <x:v>TC-031</x:v>
      </x:c>
      <x:c r="B36" s="62" t="str">
        <x:v>การเงิน</x:v>
      </x:c>
      <x:c r="C36" s="62" t="str">
        <x:v>สูง</x:v>
      </x:c>
      <x:c r="D36" s="61" t="str">
        <x:v>สรุปยอดเรียกเก็บรวมทุกช่องทาง</x:v>
      </x:c>
      <x:c r="E36" s="61" t="str">
        <x:v>มีค่าลูก ค่าเข้า และค่าน้ำ</x:v>
      </x:c>
      <x:c r="F36" s="61" t="str">
        <x:v>เปิดเมนูรายการชำระเงิน</x:v>
      </x:c>
      <x:c r="G36" s="61" t="str">
        <x:v>ยอดรวมเท่ากับผลรวมของทุกแหล่ง</x:v>
      </x:c>
      <x:c r="H36" s="61" t="str">
        <x:v>ยอดเรียกเก็บ 145 บาท = ลูก 95 + ทางเข้า 40 + น้ำ 10</x:v>
      </x:c>
      <x:c r="I36" s="62" t="str">
        <x:v>PASS</x:v>
      </x:c>
      <x:c r="J36" s="62" t="str">
        <x:v>UI manual</x:v>
      </x:c>
      <x:c r="K36" s="62" t="str">
        <x:v>20 ต.ค. 2569</x:v>
      </x:c>
    </x:row>
    <x:row r="37" ht="66" customHeight="1">
      <x:c r="A37" s="62" t="str">
        <x:v>TC-032</x:v>
      </x:c>
      <x:c r="B37" s="62" t="str">
        <x:v>การเงิน</x:v>
      </x:c>
      <x:c r="C37" s="62" t="str">
        <x:v>สูง</x:v>
      </x:c>
      <x:c r="D37" s="61" t="str">
        <x:v>คำนวณยอดรายบุคคลรวมชื่อซ้ำ</x:v>
      </x:c>
      <x:c r="E37" s="61" t="str">
        <x:v>ผู้เล่น เอ อยู่ 2 ช่องและมีค่าเข้า/ค่าน้ำ</x:v>
      </x:c>
      <x:c r="F37" s="61" t="str">
        <x:v>ตรวจยอดแต่ละคน</x:v>
      </x:c>
      <x:c r="G37" s="61" t="str">
        <x:v>เอ=77.50, บี=23.75, ซี=23.75, ดี=20</x:v>
      </x:c>
      <x:c r="H37" s="61" t="str">
        <x:v>ยอดรายคนตรงตามที่คำนวณ</x:v>
      </x:c>
      <x:c r="I37" s="62" t="str">
        <x:v>PASS</x:v>
      </x:c>
      <x:c r="J37" s="62" t="str">
        <x:v>UI manual</x:v>
      </x:c>
      <x:c r="K37" s="62" t="str">
        <x:v>20 ต.ค. 2569</x:v>
      </x:c>
    </x:row>
    <x:row r="38" ht="66" customHeight="1">
      <x:c r="A38" s="62" t="str">
        <x:v>TC-033</x:v>
      </x:c>
      <x:c r="B38" s="62" t="str">
        <x:v>การเงิน</x:v>
      </x:c>
      <x:c r="C38" s="62" t="str">
        <x:v>กลาง</x:v>
      </x:c>
      <x:c r="D38" s="61" t="str">
        <x:v>บังคับเลือกไฟล์ก่อนส่งหลักฐาน</x:v>
      </x:c>
      <x:c r="E38" s="61" t="str">
        <x:v>เปิดหน้าผู้เล่นที่มียอดค้าง</x:v>
      </x:c>
      <x:c r="F38" s="61" t="str">
        <x:v>กดส่งหลักฐานโดยไม่เลือกไฟล์</x:v>
      </x:c>
      <x:c r="G38" s="61" t="str">
        <x:v>แจ้งให้เลือกไฟล์และไม่สร้างหลักฐาน</x:v>
      </x:c>
      <x:c r="H38" s="61" t="str">
        <x:v>แจ้ง กรุณาเลือกไฟล์หลักฐานก่อนส่ง</x:v>
      </x:c>
      <x:c r="I38" s="62" t="str">
        <x:v>PASS</x:v>
      </x:c>
      <x:c r="J38" s="62" t="str">
        <x:v>UI manual</x:v>
      </x:c>
      <x:c r="K38" s="62" t="str">
        <x:v>20 ต.ค. 2569</x:v>
      </x:c>
    </x:row>
    <x:row r="39" ht="66" customHeight="1">
      <x:c r="A39" s="62" t="str">
        <x:v>TC-034</x:v>
      </x:c>
      <x:c r="B39" s="62" t="str">
        <x:v>การเงิน</x:v>
      </x:c>
      <x:c r="C39" s="62" t="str">
        <x:v>กลาง</x:v>
      </x:c>
      <x:c r="D39" s="61" t="str">
        <x:v>อัปโหลดหลักฐานการชำระเงินจริง</x:v>
      </x:c>
      <x:c r="E39" s="61" t="str">
        <x:v>มีไฟล์ภาพหลักฐาน</x:v>
      </x:c>
      <x:c r="F39" s="61" t="str">
        <x:v>เลือกไฟล์และกดส่งหลักฐาน</x:v>
      </x:c>
      <x:c r="G39" s="61" t="str">
        <x:v>Admin เห็นหลักฐานที่ส่ง</x:v>
      </x:c>
      <x:c r="H39" s="61" t="str">
        <x:v>ยังไม่ได้ทดสอบการอัปโหลดไฟล์จริง</x:v>
      </x:c>
      <x:c r="I39" s="62" t="str">
        <x:v>NOT RUN</x:v>
      </x:c>
      <x:c r="J39" s="62" t="str">
        <x:v>ต้องใช้ไฟล์ทดสอบเฉพาะ</x:v>
      </x:c>
      <x:c r="K39" s="62" t="str">
        <x:v>-</x:v>
      </x:c>
    </x:row>
    <x:row r="40" ht="66" customHeight="1">
      <x:c r="A40" s="62" t="str">
        <x:v>TC-035</x:v>
      </x:c>
      <x:c r="B40" s="62" t="str">
        <x:v>การเงิน</x:v>
      </x:c>
      <x:c r="C40" s="62" t="str">
        <x:v>สูง</x:v>
      </x:c>
      <x:c r="D40" s="61" t="str">
        <x:v>รับชำระรายคน</x:v>
      </x:c>
      <x:c r="E40" s="61" t="str">
        <x:v>มียอดค้าง 145 บาท</x:v>
      </x:c>
      <x:c r="F40" s="61" t="str">
        <x:v>กดรับชำระของผู้เล่น เอ</x:v>
      </x:c>
      <x:c r="G40" s="61" t="str">
        <x:v>ผู้เล่น เอ เป็นชำระแล้ว และยอดค้างรวมเหลือ 67.50</x:v>
      </x:c>
      <x:c r="H40" s="61" t="str">
        <x:v>ยอดค้างเหลือ 67.50 บาท</x:v>
      </x:c>
      <x:c r="I40" s="62" t="str">
        <x:v>PASS</x:v>
      </x:c>
      <x:c r="J40" s="62" t="str">
        <x:v>UI manual</x:v>
      </x:c>
      <x:c r="K40" s="62" t="str">
        <x:v>20 ต.ค. 2569</x:v>
      </x:c>
    </x:row>
    <x:row r="41" ht="66" customHeight="1">
      <x:c r="A41" s="62" t="str">
        <x:v>TC-036</x:v>
      </x:c>
      <x:c r="B41" s="62" t="str">
        <x:v>การเงิน</x:v>
      </x:c>
      <x:c r="C41" s="62" t="str">
        <x:v>สูง</x:v>
      </x:c>
      <x:c r="D41" s="61" t="str">
        <x:v>รับชำระทั้งหมด</x:v>
      </x:c>
      <x:c r="E41" s="61" t="str">
        <x:v>ยังมียอดค้าง 67.50 บาท</x:v>
      </x:c>
      <x:c r="F41" s="61" t="str">
        <x:v>กดรับชำระทั้งหมด</x:v>
      </x:c>
      <x:c r="G41" s="61" t="str">
        <x:v>รับแล้ว 145 และยอดค้างเป็นศูนย์</x:v>
      </x:c>
      <x:c r="H41" s="61" t="str">
        <x:v>รับแล้ว 145 บาท ยอดค้าง 0</x:v>
      </x:c>
      <x:c r="I41" s="62" t="str">
        <x:v>PASS</x:v>
      </x:c>
      <x:c r="J41" s="62" t="str">
        <x:v>UI manual</x:v>
      </x:c>
      <x:c r="K41" s="62" t="str">
        <x:v>20 ต.ค. 2569</x:v>
      </x:c>
    </x:row>
    <x:row r="42" ht="66" customHeight="1">
      <x:c r="A42" s="62" t="str">
        <x:v>TC-037</x:v>
      </x:c>
      <x:c r="B42" s="62" t="str">
        <x:v>ตั้งค่าระบบ</x:v>
      </x:c>
      <x:c r="C42" s="62" t="str">
        <x:v>สูง</x:v>
      </x:c>
      <x:c r="D42" s="61" t="str">
        <x:v>เลือกค่าระบบแบบเหมาจ่ายรายเดือน</x:v>
      </x:c>
      <x:c r="E42" s="61" t="str">
        <x:v>เข้าสู่ข้อมูลระบบ</x:v>
      </x:c>
      <x:c r="F42" s="61" t="str">
        <x:v>เลือกเหมาจ่ายรายเดือน</x:v>
      </x:c>
      <x:c r="G42" s="61" t="str">
        <x:v>settings.systemChargeMode เป็น monthly</x:v>
      </x:c>
      <x:c r="H42" s="61" t="str">
        <x:v>API ยืนยัน mode=monthly</x:v>
      </x:c>
      <x:c r="I42" s="62" t="str">
        <x:v>PASS</x:v>
      </x:c>
      <x:c r="J42" s="62" t="str">
        <x:v>UI + API</x:v>
      </x:c>
      <x:c r="K42" s="62" t="str">
        <x:v>20 ต.ค. 2569</x:v>
      </x:c>
    </x:row>
    <x:row r="43" ht="66" customHeight="1">
      <x:c r="A43" s="62" t="str">
        <x:v>TC-038</x:v>
      </x:c>
      <x:c r="B43" s="62" t="str">
        <x:v>ตั้งค่าระบบ</x:v>
      </x:c>
      <x:c r="C43" s="62" t="str">
        <x:v>สูง</x:v>
      </x:c>
      <x:c r="D43" s="61" t="str">
        <x:v>เลือกค่าระบบแบบคิดต่อลูก</x:v>
      </x:c>
      <x:c r="E43" s="61" t="str">
        <x:v>อยู่หน้าข้อมูลระบบ</x:v>
      </x:c>
      <x:c r="F43" s="61" t="str">
        <x:v>เลือกคิดตามลูกที่เบิก</x:v>
      </x:c>
      <x:c r="G43" s="61" t="str">
        <x:v>settings.systemChargeMode เป็น per_shuttle</x:v>
      </x:c>
      <x:c r="H43" s="61" t="str">
        <x:v>API ยืนยัน mode=per_shuttle และคืนเป็นค่าเริ่มต้นหลังทดสอบ</x:v>
      </x:c>
      <x:c r="I43" s="62" t="str">
        <x:v>PASS</x:v>
      </x:c>
      <x:c r="J43" s="62" t="str">
        <x:v>UI + API</x:v>
      </x:c>
      <x:c r="K43" s="62" t="str">
        <x:v>21 ต.ค. 2569</x:v>
      </x:c>
    </x:row>
    <x:row r="44" ht="66" customHeight="1">
      <x:c r="A44" s="62" t="str">
        <x:v>TC-039</x:v>
      </x:c>
      <x:c r="B44" s="62" t="str">
        <x:v>ตั้งค่าระบบ</x:v>
      </x:c>
      <x:c r="C44" s="62" t="str">
        <x:v>สูง</x:v>
      </x:c>
      <x:c r="D44" s="61" t="str">
        <x:v>CRUD Master สินค้า</x:v>
      </x:c>
      <x:c r="E44" s="61" t="str">
        <x:v>เข้าสู่ข้อมูลระบบ</x:v>
      </x:c>
      <x:c r="F44" s="61" t="str">
        <x:v>เพิ่ม แก้ชื่อ ปิดขาย และลบสินค้าทดสอบ</x:v>
      </x:c>
      <x:c r="G44" s="61" t="str">
        <x:v>แต่ละคำสั่งสำเร็จและไม่เหลือสินค้าทดสอบ</x:v>
      </x:c>
      <x:c r="H44" s="61" t="str">
        <x:v>ทำครบทุกคำสั่ง API เหลือสินค้าเดิม 4 รายการ</x:v>
      </x:c>
      <x:c r="I44" s="62" t="str">
        <x:v>PASS</x:v>
      </x:c>
      <x:c r="J44" s="62" t="str">
        <x:v>UI + API</x:v>
      </x:c>
      <x:c r="K44" s="62" t="str">
        <x:v>20–21 ต.ค. 2569</x:v>
      </x:c>
    </x:row>
    <x:row r="45" ht="66" customHeight="1">
      <x:c r="A45" s="62" t="str">
        <x:v>TC-040</x:v>
      </x:c>
      <x:c r="B45" s="62" t="str">
        <x:v>Persistence</x:v>
      </x:c>
      <x:c r="C45" s="62" t="str">
        <x:v>สูง</x:v>
      </x:c>
      <x:c r="D45" s="61" t="str">
        <x:v>ข้อมูลคงอยู่หลังรีสตาร์ต Server</x:v>
      </x:c>
      <x:c r="E45" s="61" t="str">
        <x:v>มีข้อมูลทดสอบและ revision=29</x:v>
      </x:c>
      <x:c r="F45" s="61" t="str">
        <x:v>หยุดและเปิด Server ใหม่ด้วย data file เดิม</x:v>
      </x:c>
      <x:c r="G45" s="61" t="str">
        <x:v>จำนวนสมาชิก/คิว/รายการและโหมดค่าระบบเหมือนเดิม</x:v>
      </x:c>
      <x:c r="H45" s="61" t="str">
        <x:v>ข้อมูลครบ 4 สมาชิก 1 คิว 1 รอบลูก 1 รายการซื้อ 4 payment และ mode=per_shuttle</x:v>
      </x:c>
      <x:c r="I45" s="62" t="str">
        <x:v>PASS</x:v>
      </x:c>
      <x:c r="J45" s="62" t="str">
        <x:v>Restart + GET /api/state</x:v>
      </x:c>
      <x:c r="K45" s="62" t="str">
        <x:v>21 ต.ค. 2569</x:v>
      </x:c>
    </x:row>
    <x:row r="46" ht="66" customHeight="1">
      <x:c r="A46" s="62" t="str">
        <x:v>TC-041</x:v>
      </x:c>
      <x:c r="B46" s="62" t="str">
        <x:v>WebSocket</x:v>
      </x:c>
      <x:c r="C46" s="62" t="str">
        <x:v>สูง</x:v>
      </x:c>
      <x:c r="D46" s="61" t="str">
        <x:v>Broadcast state ไปหลาย Client</x:v>
      </x:c>
      <x:c r="E46" s="61" t="str">
        <x:v>เปิด WebSocket Client มากกว่า 1</x:v>
      </x:c>
      <x:c r="F46" s="61" t="str">
        <x:v>ส่ง state:update จาก Client หนึ่ง</x:v>
      </x:c>
      <x:c r="G46" s="61" t="str">
        <x:v>Client อื่นได้รับ revision ใหม่</x:v>
      </x:c>
      <x:c r="H46" s="61" t="str">
        <x:v>Automated test ผ่าน</x:v>
      </x:c>
      <x:c r="I46" s="62" t="str">
        <x:v>PASS</x:v>
      </x:c>
      <x:c r="J46" s="62" t="str">
        <x:v>pnpm check</x:v>
      </x:c>
      <x:c r="K46" s="62" t="str">
        <x:v>21 ต.ค. 2569</x:v>
      </x:c>
    </x:row>
    <x:row r="47" ht="66" customHeight="1">
      <x:c r="A47" s="62" t="str">
        <x:v>TC-042</x:v>
      </x:c>
      <x:c r="B47" s="62" t="str">
        <x:v>Migration</x:v>
      </x:c>
      <x:c r="C47" s="62" t="str">
        <x:v>สูง</x:v>
      </x:c>
      <x:c r="D47" s="61" t="str">
        <x:v>Migration รองรับสมาชิกที่ไม่มี phone</x:v>
      </x:c>
      <x:c r="E47" s="61" t="str">
        <x:v>ใช้ snapshot เก่าที่ไม่มี phone</x:v>
      </x:c>
      <x:c r="F47" s="61" t="str">
        <x:v>รัน migrateSnapshot</x:v>
      </x:c>
      <x:c r="G47" s="61" t="str">
        <x:v>เติม phone เป็นสตริงว่างโดยข้อมูลอื่นไม่เสีย</x:v>
      </x:c>
      <x:c r="H47" s="61" t="str">
        <x:v>Automated test ผ่าน</x:v>
      </x:c>
      <x:c r="I47" s="62" t="str">
        <x:v>PASS</x:v>
      </x:c>
      <x:c r="J47" s="62" t="str">
        <x:v>pnpm check</x:v>
      </x:c>
      <x:c r="K47" s="62" t="str">
        <x:v>21 ต.ค. 2569</x:v>
      </x:c>
    </x:row>
    <x:row r="48" ht="66" customHeight="1">
      <x:c r="A48" s="62" t="str">
        <x:v>TC-043</x:v>
      </x:c>
      <x:c r="B48" s="62" t="str">
        <x:v>Board / Responsive</x:v>
      </x:c>
      <x:c r="C48" s="62" t="str">
        <x:v>กลาง</x:v>
      </x:c>
      <x:c r="D48" s="61" t="str">
        <x:v>รูปแบบบอร์ดเมื่อมี 10 และ 20 คิว</x:v>
      </x:c>
      <x:c r="E48" s="61" t="str">
        <x:v>ต้องสร้างข้อมูล 10/20 คิวและหลาย viewport</x:v>
      </x:c>
      <x:c r="F48" s="61" t="str">
        <x:v>ตรวจ 2 คอลัมน์ × 5 หรือ 10 แถว</x:v>
      </x:c>
      <x:c r="G48" s="61" t="str">
        <x:v>ไม่ล้นจอและยังอ่านชื่อได้</x:v>
      </x:c>
      <x:c r="H48" s="61" t="str">
        <x:v>ยังไม่ได้รันทดสอบข้อมูลหนาแน่นและทุก breakpoint</x:v>
      </x:c>
      <x:c r="I48" s="62" t="str">
        <x:v>NOT RUN</x:v>
      </x:c>
      <x:c r="J48" s="62" t="str">
        <x:v>ควรเพิ่ม visual regression</x:v>
      </x:c>
      <x:c r="K48" s="62" t="str">
        <x:v>-</x:v>
      </x:c>
    </x:row>
    <x:row r="49" ht="66" customHeight="1">
      <x:c r="A49" s="62" t="str">
        <x:v>TC-044</x:v>
      </x:c>
      <x:c r="B49" s="62" t="str">
        <x:v>การเงิน</x:v>
      </x:c>
      <x:c r="C49" s="62" t="str">
        <x:v>กลาง</x:v>
      </x:c>
      <x:c r="D49" s="61" t="str">
        <x:v>ดาวน์โหลดรูปทวงเงิน</x:v>
      </x:c>
      <x:c r="E49" s="61" t="str">
        <x:v>มีผู้เล่นค้างชำระ</x:v>
      </x:c>
      <x:c r="F49" s="61" t="str">
        <x:v>กดดาวน์โหลดรูปทวงเงิน</x:v>
      </x:c>
      <x:c r="G49" s="61" t="str">
        <x:v>ได้ไฟล์รูปที่อ่านง่ายและยอดถูกต้อง</x:v>
      </x:c>
      <x:c r="H49" s="61" t="str">
        <x:v>ยังไม่ได้ทดสอบไฟล์ดาวน์โหลดจริง</x:v>
      </x:c>
      <x:c r="I49" s="62" t="str">
        <x:v>NOT RUN</x:v>
      </x:c>
      <x:c r="J49" s="62" t="str">
        <x:v>ต้องตรวจไฟล์ภาพปลายทาง</x:v>
      </x:c>
      <x:c r="K49" s="62" t="str">
        <x:v>-</x:v>
      </x:c>
    </x:row>
    <x:row r="50" ht="66" customHeight="1">
      <x:c r="A50" s="62" t="str">
        <x:v>TC-045</x:v>
      </x:c>
      <x:c r="B50" s="62" t="str">
        <x:v>Routing</x:v>
      </x:c>
      <x:c r="C50" s="62" t="str">
        <x:v>ต่ำ</x:v>
      </x:c>
      <x:c r="D50" s="61" t="str">
        <x:v>เส้นทางที่ไม่มีอยู่ตอบ 404</x:v>
      </x:c>
      <x:c r="E50" s="61" t="str">
        <x:v>Server ทำงาน</x:v>
      </x:c>
      <x:c r="F50" s="61" t="str">
        <x:v>เปิด /no-such-page</x:v>
      </x:c>
      <x:c r="G50" s="61" t="str">
        <x:v>ตอบ 404 และไม่เปิด Directory Index</x:v>
      </x:c>
      <x:c r="H50" s="61" t="str">
        <x:v>ตอบ HTTP 404</x:v>
      </x:c>
      <x:c r="I50" s="62" t="str">
        <x:v>PASS</x:v>
      </x:c>
      <x:c r="J50" s="62" t="str">
        <x:v>curl HTTP status</x:v>
      </x:c>
      <x:c r="K50" s="62" t="str">
        <x:v>21 ต.ค. 2569</x:v>
      </x:c>
    </x:row>
  </x:sheetData>
  <x:mergeCells>
    <x:mergeCell ref="A1:K2"/>
    <x:mergeCell ref="A3:K3"/>
  </x:mergeCells>
  <x:conditionalFormatting sqref="I6:I5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RUN"/>
  </x:conditionalFormatting>
  <x:pageMargins left="0.7" right="0.7" top="0.75" bottom="0.75" header="0.3" footer="0.3"/>
  <x:tableParts count="1">
    <x:tablePart xmlns:r="http://schemas.openxmlformats.org/officeDocument/2006/relationships" r:id="R9ab0d978d49f496e"/>
  </x:tableParts>
</x:worksheet>
</file>